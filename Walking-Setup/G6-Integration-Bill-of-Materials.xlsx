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ehenbaueri/Documents/GitHub/Fly-Lab-Gear/Walking-Setup/"/>
    </mc:Choice>
  </mc:AlternateContent>
  <xr:revisionPtr revIDLastSave="0" documentId="13_ncr:1_{50363D00-03FF-BB4E-9D05-0301A7584635}" xr6:coauthVersionLast="47" xr6:coauthVersionMax="47" xr10:uidLastSave="{00000000-0000-0000-0000-000000000000}"/>
  <bookViews>
    <workbookView xWindow="6460" yWindow="1600" windowWidth="27460" windowHeight="18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4" i="1" l="1"/>
  <c r="I63" i="1"/>
  <c r="I62" i="1"/>
  <c r="H61" i="1"/>
  <c r="I61" i="1" s="1"/>
  <c r="H60" i="1"/>
  <c r="I60" i="1" s="1"/>
  <c r="I59" i="1"/>
  <c r="I58" i="1"/>
  <c r="I57" i="1"/>
  <c r="I56" i="1"/>
  <c r="I55" i="1"/>
  <c r="H53" i="1"/>
  <c r="I53" i="1" s="1"/>
  <c r="H52" i="1"/>
  <c r="I52" i="1" s="1"/>
  <c r="I51" i="1"/>
  <c r="I50" i="1"/>
  <c r="H49" i="1"/>
  <c r="I49" i="1" s="1"/>
  <c r="I48" i="1"/>
  <c r="I47" i="1"/>
  <c r="H46" i="1"/>
  <c r="I46" i="1" s="1"/>
  <c r="H45" i="1"/>
  <c r="I45" i="1" s="1"/>
  <c r="I44" i="1"/>
  <c r="I43" i="1"/>
  <c r="H42" i="1"/>
  <c r="I42" i="1" s="1"/>
  <c r="H41" i="1"/>
  <c r="I41" i="1" s="1"/>
  <c r="I40" i="1"/>
  <c r="I39" i="1"/>
  <c r="I38" i="1"/>
  <c r="I37" i="1"/>
  <c r="I36" i="1"/>
  <c r="I35" i="1"/>
  <c r="I34" i="1"/>
  <c r="I33" i="1"/>
  <c r="I32" i="1"/>
  <c r="I31" i="1"/>
  <c r="I30" i="1"/>
  <c r="I29" i="1"/>
  <c r="I25" i="1"/>
  <c r="I24" i="1"/>
  <c r="I23" i="1"/>
  <c r="I22" i="1"/>
  <c r="H21" i="1"/>
  <c r="I21" i="1" s="1"/>
  <c r="I20" i="1"/>
  <c r="H19" i="1"/>
  <c r="I19" i="1" s="1"/>
  <c r="I18" i="1"/>
  <c r="I17" i="1"/>
  <c r="I16" i="1"/>
  <c r="H15" i="1"/>
  <c r="I15" i="1" s="1"/>
  <c r="H14" i="1"/>
  <c r="I14" i="1" s="1"/>
  <c r="I13" i="1"/>
  <c r="I12" i="1"/>
  <c r="I11" i="1"/>
  <c r="B6" i="1"/>
  <c r="B7" i="1" l="1"/>
</calcChain>
</file>

<file path=xl/sharedStrings.xml><?xml version="1.0" encoding="utf-8"?>
<sst xmlns="http://schemas.openxmlformats.org/spreadsheetml/2006/main" count="305" uniqueCount="152">
  <si>
    <t>Name</t>
  </si>
  <si>
    <t>G6 Fly on Ball Walking Setup</t>
  </si>
  <si>
    <t>Number</t>
  </si>
  <si>
    <t>Revision</t>
  </si>
  <si>
    <t>Engineer</t>
  </si>
  <si>
    <t>Isabel Lehenbauer</t>
  </si>
  <si>
    <t>Approval date</t>
  </si>
  <si>
    <t>Part count</t>
  </si>
  <si>
    <t>Total cost</t>
  </si>
  <si>
    <t>Category</t>
  </si>
  <si>
    <t>Subassembly</t>
  </si>
  <si>
    <t>Part No.</t>
  </si>
  <si>
    <t>Part Name</t>
  </si>
  <si>
    <t>Supplier</t>
  </si>
  <si>
    <t>Qty</t>
  </si>
  <si>
    <t>Units</t>
  </si>
  <si>
    <t>Unit Cost</t>
  </si>
  <si>
    <t>Cost</t>
  </si>
  <si>
    <t>Link</t>
  </si>
  <si>
    <t>Note</t>
  </si>
  <si>
    <t>MB12</t>
  </si>
  <si>
    <t>12" x 12" Breadboard</t>
  </si>
  <si>
    <t>Thorlabs</t>
  </si>
  <si>
    <t>each</t>
  </si>
  <si>
    <t>https://www.thorlabs.com/item/MB12</t>
  </si>
  <si>
    <t>G6 Arena</t>
  </si>
  <si>
    <t>https://reiserlab.github.io/Modular-LED-Display/G6/</t>
  </si>
  <si>
    <t>TR1</t>
  </si>
  <si>
    <t>1" post</t>
  </si>
  <si>
    <t>https://www.thorlabs.com/item/TR1</t>
  </si>
  <si>
    <t>Hardware</t>
  </si>
  <si>
    <t>92311A197</t>
  </si>
  <si>
    <t>#8-32 set screw 3/4"</t>
  </si>
  <si>
    <t>McMaster Carr</t>
  </si>
  <si>
    <t>https://www.mcmaster.com/92311A197/</t>
  </si>
  <si>
    <t>90480A009</t>
  </si>
  <si>
    <t>#8-32 nuts</t>
  </si>
  <si>
    <t>https://www.mcmaster.com/90480A009/</t>
  </si>
  <si>
    <t>J011595</t>
  </si>
  <si>
    <t>Spacer posts</t>
  </si>
  <si>
    <t>3D printed</t>
  </si>
  <si>
    <t>g</t>
  </si>
  <si>
    <t>../Miscellaneous/G6-Spacer/production/Panel-Spacer-2Panels.stl</t>
  </si>
  <si>
    <t>Electrical</t>
  </si>
  <si>
    <t>Barrel jack power supply (5V, 10A)</t>
  </si>
  <si>
    <t>Micro USB to USB cable</t>
  </si>
  <si>
    <t>https://www.amazon.com/Smays-5-Pack-Micro-Transfer-Charging/dp/B0DZ6QRRHJ/ref=sr_1_2_sspa</t>
  </si>
  <si>
    <t>Optostim</t>
  </si>
  <si>
    <t>91185A293</t>
  </si>
  <si>
    <t>#8-32 thumb screws</t>
  </si>
  <si>
    <t>https://www.mcmaster.com/91185A293-91185A442/</t>
  </si>
  <si>
    <t>91251A194</t>
  </si>
  <si>
    <t>#8-32 cap screw 1/2"</t>
  </si>
  <si>
    <t>https://www.mcmaster.com/91251A194/</t>
  </si>
  <si>
    <t>8974K24</t>
  </si>
  <si>
    <t>Rail 3/8" dia aluminum rod</t>
  </si>
  <si>
    <t>https://www.mcmaster.com/8974K24-8974K241/</t>
  </si>
  <si>
    <t>Optostim light rail holder</t>
  </si>
  <si>
    <t>Optostimulation/production/optostim-light-rail-holder.stl</t>
  </si>
  <si>
    <t>90 deg rail slider</t>
  </si>
  <si>
    <t>Optostimulation/production/90Deg-Rail-Slider.stl</t>
  </si>
  <si>
    <t>Optostim light guide</t>
  </si>
  <si>
    <t>Optostimulation/production/optostim-light-guide.stl</t>
  </si>
  <si>
    <t>Barrel jack (M) to screw terminals</t>
  </si>
  <si>
    <t xml:space="preserve">BNC (m) to screw terminals </t>
  </si>
  <si>
    <t>On-off switch</t>
  </si>
  <si>
    <t>DLH-xUP-EH</t>
  </si>
  <si>
    <t>LED lamp housing</t>
  </si>
  <si>
    <t>LED Supply</t>
  </si>
  <si>
    <t>https://www.ledsupply.com/led-heatsinks/dynamic-led-heatsink-housing</t>
  </si>
  <si>
    <t>CREEXPE2-RED-1</t>
  </si>
  <si>
    <t>Cree XLamp XP-E2 Color High Power LED Star</t>
  </si>
  <si>
    <t>10193 Carclo 20mm Lens - Plain Tight Spot LED Optic</t>
  </si>
  <si>
    <t>DLH-XL-NPLE</t>
  </si>
  <si>
    <t>Dynamic LED Housing All Thread Nipple</t>
  </si>
  <si>
    <t>03023-D-E-350</t>
  </si>
  <si>
    <t>Buckpuck Luxdrive</t>
  </si>
  <si>
    <t>LO-X-H2-2</t>
  </si>
  <si>
    <t>Butt Splice Quick Wire Connectors</t>
  </si>
  <si>
    <t>Barrel jack to screw terminal</t>
  </si>
  <si>
    <t>Fly Holder</t>
  </si>
  <si>
    <t>Micromanipulator</t>
  </si>
  <si>
    <t>Micromanipulator adapter plate</t>
  </si>
  <si>
    <t>Fly holder stand</t>
  </si>
  <si>
    <t>Fly-Holder/production/Friction-Mount-Stand.stl</t>
  </si>
  <si>
    <t>Fly holder arm R</t>
  </si>
  <si>
    <t>Fly-Holder/production/Friction-Mount-Arm-R.stl</t>
  </si>
  <si>
    <t>Blunt Needle for Tethering</t>
  </si>
  <si>
    <t>91290A125</t>
  </si>
  <si>
    <t>M3x0.5 screws, 25 mm</t>
  </si>
  <si>
    <t>https://www.mcmaster.com/91290A125/</t>
  </si>
  <si>
    <t>90591A250</t>
  </si>
  <si>
    <t>M3x0.5 nut, 2mm</t>
  </si>
  <si>
    <t>https://www.mcmaster.com/90591A250/</t>
  </si>
  <si>
    <t>Camera</t>
  </si>
  <si>
    <t>FFY-U3-04S2M-S</t>
  </si>
  <si>
    <t>Flir Firefly S USB3: 0.4 MP, Mono, S-mount</t>
  </si>
  <si>
    <t>Teledyne Flir</t>
  </si>
  <si>
    <t>https://www.teledynevisionsolutions.com/products/firefly-s/?model=FFY-U3-04S2M-S</t>
  </si>
  <si>
    <t>S-mount Lens</t>
  </si>
  <si>
    <t>91290A011</t>
  </si>
  <si>
    <t>M2x0.4, 4mm cap screw</t>
  </si>
  <si>
    <t>https://www.mcmaster.com/91290A011/</t>
  </si>
  <si>
    <t>91166A180</t>
  </si>
  <si>
    <t>M2 washer</t>
  </si>
  <si>
    <t>https://www.mcmaster.com/91166A180/</t>
  </si>
  <si>
    <t>USB3 Micro B to USB cable</t>
  </si>
  <si>
    <t>https://www.amazon.com/External-Seagate-Toshiba-Western-Passport/dp/B0F1N5W6VW/ref=sr_1_1_sspa</t>
  </si>
  <si>
    <t>Treadmill</t>
  </si>
  <si>
    <t>Integrated Camera + treadmill</t>
  </si>
  <si>
    <t>3D printed, resin</t>
  </si>
  <si>
    <t>Inexpensive-Treadmill_Assembly/production/G6-Integrated-Inexpensive-Treadmill.stl</t>
  </si>
  <si>
    <t>1/4-20 cap screw, 3/4"</t>
  </si>
  <si>
    <t>https://www.mcmaster.com/91251A540/</t>
  </si>
  <si>
    <t>Ball</t>
  </si>
  <si>
    <t>General Plastics</t>
  </si>
  <si>
    <t>https://www.generalplastics.com/products/fr-7100</t>
  </si>
  <si>
    <t>Illumination panel</t>
  </si>
  <si>
    <t>Treadmill-Illumination/</t>
  </si>
  <si>
    <t>91292A833</t>
  </si>
  <si>
    <t>M2x0.4 screws, 10 mm</t>
  </si>
  <si>
    <t>https://www.mcmaster.com/91292A833/</t>
  </si>
  <si>
    <t>91828A111</t>
  </si>
  <si>
    <t>M2x0.4 nuts</t>
  </si>
  <si>
    <t>https://www.mcmaster.com/91828A111/</t>
  </si>
  <si>
    <t>Heater</t>
  </si>
  <si>
    <t>70 mm circular heating pad</t>
  </si>
  <si>
    <t>https://www.amazon.com/XIITIA-70mmx70mm-Adhesive-Elements-Polyimide/dp/B0D5DC9VWB/ref=sr_1_2?</t>
  </si>
  <si>
    <t>Heating baseplate</t>
  </si>
  <si>
    <t>../Miscellaneous/Baseplate/production/heat_baseplate_sketch.svg</t>
  </si>
  <si>
    <t>Laser cut</t>
  </si>
  <si>
    <t>56-NTCLE350E4103FLB0-ND</t>
  </si>
  <si>
    <t>Thermometer</t>
  </si>
  <si>
    <t>Digikey</t>
  </si>
  <si>
    <t>https://www.digikey.com/en/products/detail/vishay-beyschlag-draloric-bc-components/NTCLE350E4103FLB0/12612895</t>
  </si>
  <si>
    <t>Control panel</t>
  </si>
  <si>
    <t>Electrical Box 12V</t>
  </si>
  <si>
    <t>LO-CONSPLIT-2</t>
  </si>
  <si>
    <t>Power splitter</t>
  </si>
  <si>
    <t>https://www.ledsupply.com/accessories/lever-splitter-wire-connectors</t>
  </si>
  <si>
    <t>91292A115</t>
  </si>
  <si>
    <t>M3x0.5 screws, 16 mm</t>
  </si>
  <si>
    <t>https://www.mcmaster.com/91292A115/</t>
  </si>
  <si>
    <t>M3x0.5 nut</t>
  </si>
  <si>
    <t>12V, &gt;2W power supply</t>
  </si>
  <si>
    <t>8505K721</t>
  </si>
  <si>
    <t>12" x 12" Acrylic sheet</t>
  </si>
  <si>
    <t>https://www.mcmaster.com/8505K721-8505K112/</t>
  </si>
  <si>
    <t>12"x12" is enough for 2 laser cut boxes, or one box and the heating baseplate. Color choice up to the user</t>
  </si>
  <si>
    <t>https://www.mcmaster.com/5779K108/</t>
  </si>
  <si>
    <t>Push-to-Connect Tube Fitting for Air, Straight Adapter, for 1/4" Tube OD x 1/8 NPT Male</t>
  </si>
  <si>
    <t>5779K108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</si>
</sst>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3" fillId="0" borderId="0"/>
  </cellStyleXfs>
  <cellXfs count="8">
    <xf numFmtId="0" fontId="0" fillId="0" borderId="0" xfId="0"/>
    <xf numFmtId="44" fontId="0" fillId="0" borderId="0" xfId="1" applyFont="1"/>
    <xf numFmtId="0" fontId="2" fillId="0" borderId="0" xfId="0" applyFont="1" applyAlignment="1">
      <alignment horizontal="right"/>
    </xf>
    <xf numFmtId="44" fontId="0" fillId="0" borderId="0" xfId="0" applyNumberFormat="1"/>
    <xf numFmtId="0" fontId="3" fillId="0" borderId="0" xfId="2"/>
    <xf numFmtId="0" fontId="0" fillId="0" borderId="0" xfId="0" applyAlignment="1">
      <alignment horizontal="left"/>
    </xf>
    <xf numFmtId="0" fontId="3" fillId="0" borderId="0" xfId="0" applyFont="1"/>
    <xf numFmtId="44" fontId="0" fillId="0" borderId="0" xfId="1" applyFont="1" applyFill="1"/>
  </cellXfs>
  <cellStyles count="3">
    <cellStyle name="Currency" xfId="1" builtinId="4"/>
    <cellStyle name="Hyperlink" xfId="2" builtinId="8"/>
    <cellStyle name="Normal" xfId="0" builtinId="0"/>
  </cellStyles>
  <dxfs count="4">
    <dxf>
      <font>
        <strike val="0"/>
        <condense val="0"/>
        <extend val="0"/>
        <outline val="0"/>
        <shadow val="0"/>
        <vertAlign val="baseline"/>
        <sz val="12"/>
        <color theme="1"/>
        <name val="Aptos Narrow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ptos Narrow"/>
        <family val="2"/>
        <scheme val="minor"/>
      </font>
    </dxf>
    <dxf>
      <alignment horizontal="left" vertical="bottom"/>
    </dxf>
    <dxf>
      <alignment horizontal="left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0:K63" totalsRowShown="0">
  <autoFilter ref="A10:K63" xr:uid="{00000000-0009-0000-0100-000001000000}"/>
  <tableColumns count="11">
    <tableColumn id="1" xr3:uid="{00000000-0010-0000-0000-000001000000}" name="Category"/>
    <tableColumn id="9" xr3:uid="{00000000-0010-0000-0000-000009000000}" name="Subassembly"/>
    <tableColumn id="2" xr3:uid="{00000000-0010-0000-0000-000002000000}" name="Part No." dataDxfId="3"/>
    <tableColumn id="7" xr3:uid="{00000000-0010-0000-0000-000007000000}" name="Part Name"/>
    <tableColumn id="3" xr3:uid="{00000000-0010-0000-0000-000003000000}" name="Supplier"/>
    <tableColumn id="4" xr3:uid="{00000000-0010-0000-0000-000004000000}" name="Qty"/>
    <tableColumn id="8" xr3:uid="{00000000-0010-0000-0000-000008000000}" name="Units" dataDxfId="2"/>
    <tableColumn id="5" xr3:uid="{00000000-0010-0000-0000-000005000000}" name="Unit Cost" dataDxfId="1" dataCellStyle="Currency"/>
    <tableColumn id="6" xr3:uid="{00000000-0010-0000-0000-000006000000}" name="Cost" dataDxfId="0" dataCellStyle="Currency">
      <calculatedColumnFormula>Table1[[#This Row],[Qty]]*Table1[[#This Row],[Unit Cost]]</calculatedColumnFormula>
    </tableColumn>
    <tableColumn id="10" xr3:uid="{00000000-0010-0000-0000-00000A000000}" name="Link"/>
    <tableColumn id="13" xr3:uid="{00000000-0010-0000-0000-00000D000000}" name="Note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cmaster.com/91251A194/" TargetMode="External"/><Relationship Id="rId13" Type="http://schemas.openxmlformats.org/officeDocument/2006/relationships/hyperlink" Target="https://www.ledsupply.com/led-heatsinks/dynamic-led-heatsink-housing" TargetMode="External"/><Relationship Id="rId18" Type="http://schemas.openxmlformats.org/officeDocument/2006/relationships/hyperlink" Target="https://www.teledynevisionsolutions.com/products/firefly-s/?model=FFY-U3-04S2M-S" TargetMode="External"/><Relationship Id="rId26" Type="http://schemas.openxmlformats.org/officeDocument/2006/relationships/hyperlink" Target="../Miscellaneous/Baseplate/production/heat_baseplate_sketch.svg" TargetMode="External"/><Relationship Id="rId3" Type="http://schemas.openxmlformats.org/officeDocument/2006/relationships/hyperlink" Target="https://www.thorlabs.com/item/TR1" TargetMode="External"/><Relationship Id="rId21" Type="http://schemas.openxmlformats.org/officeDocument/2006/relationships/hyperlink" Target="https://www.amazon.com/External-Seagate-Toshiba-Western-Passport/dp/B0F1N5W6VW/ref=sr_1_1_sspa" TargetMode="External"/><Relationship Id="rId7" Type="http://schemas.openxmlformats.org/officeDocument/2006/relationships/hyperlink" Target="https://www.mcmaster.com/90480A009/" TargetMode="External"/><Relationship Id="rId12" Type="http://schemas.openxmlformats.org/officeDocument/2006/relationships/hyperlink" Target="Optostimulation/production/optostim-light-guide.stl" TargetMode="External"/><Relationship Id="rId17" Type="http://schemas.openxmlformats.org/officeDocument/2006/relationships/hyperlink" Target="https://www.mcmaster.com/90591A250/" TargetMode="External"/><Relationship Id="rId25" Type="http://schemas.openxmlformats.org/officeDocument/2006/relationships/hyperlink" Target="https://www.mcmaster.com/91828A111/" TargetMode="External"/><Relationship Id="rId2" Type="http://schemas.openxmlformats.org/officeDocument/2006/relationships/hyperlink" Target="https://reiserlab.github.io/Modular-LED-Display/G6/" TargetMode="External"/><Relationship Id="rId16" Type="http://schemas.openxmlformats.org/officeDocument/2006/relationships/hyperlink" Target="https://www.mcmaster.com/91290A125/" TargetMode="External"/><Relationship Id="rId20" Type="http://schemas.openxmlformats.org/officeDocument/2006/relationships/hyperlink" Target="https://www.mcmaster.com/91166A180/" TargetMode="External"/><Relationship Id="rId29" Type="http://schemas.openxmlformats.org/officeDocument/2006/relationships/hyperlink" Target="https://www.mcmaster.com/5779K108/" TargetMode="External"/><Relationship Id="rId1" Type="http://schemas.openxmlformats.org/officeDocument/2006/relationships/hyperlink" Target="https://www.thorlabs.com/item/MB12" TargetMode="External"/><Relationship Id="rId6" Type="http://schemas.openxmlformats.org/officeDocument/2006/relationships/hyperlink" Target="https://www.mcmaster.com/91185A293-91185A442/" TargetMode="External"/><Relationship Id="rId11" Type="http://schemas.openxmlformats.org/officeDocument/2006/relationships/hyperlink" Target="Optostimulation/production/90Deg-Rail-Slider.stl" TargetMode="External"/><Relationship Id="rId24" Type="http://schemas.openxmlformats.org/officeDocument/2006/relationships/hyperlink" Target="Treadmill-Illumination" TargetMode="External"/><Relationship Id="rId5" Type="http://schemas.openxmlformats.org/officeDocument/2006/relationships/hyperlink" Target="../Miscellaneous/G6-Spacer/production/Panel-Spacer-2Panels.stl" TargetMode="External"/><Relationship Id="rId15" Type="http://schemas.openxmlformats.org/officeDocument/2006/relationships/hyperlink" Target="Fly-Holder/production/Friction-Mount-Arm-R.stl" TargetMode="External"/><Relationship Id="rId23" Type="http://schemas.openxmlformats.org/officeDocument/2006/relationships/hyperlink" Target="https://www.mcmaster.com/91251A540/" TargetMode="External"/><Relationship Id="rId28" Type="http://schemas.openxmlformats.org/officeDocument/2006/relationships/hyperlink" Target="https://www.mcmaster.com/91292A115/" TargetMode="External"/><Relationship Id="rId10" Type="http://schemas.openxmlformats.org/officeDocument/2006/relationships/hyperlink" Target="Optostimulation/production/optostim-light-rail-holder.stl" TargetMode="External"/><Relationship Id="rId19" Type="http://schemas.openxmlformats.org/officeDocument/2006/relationships/hyperlink" Target="https://www.mcmaster.com/91290A011/" TargetMode="External"/><Relationship Id="rId4" Type="http://schemas.openxmlformats.org/officeDocument/2006/relationships/hyperlink" Target="https://www.mcmaster.com/90480A009/" TargetMode="External"/><Relationship Id="rId9" Type="http://schemas.openxmlformats.org/officeDocument/2006/relationships/hyperlink" Target="https://www.mcmaster.com/8974K24-8974K241/" TargetMode="External"/><Relationship Id="rId14" Type="http://schemas.openxmlformats.org/officeDocument/2006/relationships/hyperlink" Target="Fly-Holder/production/Friction-Mount-Stand.stl" TargetMode="External"/><Relationship Id="rId22" Type="http://schemas.openxmlformats.org/officeDocument/2006/relationships/hyperlink" Target="Inexpensive-Treadmill_Assembly/production/G6-Integrated-Inexpensive-Treadmill.stl" TargetMode="External"/><Relationship Id="rId27" Type="http://schemas.openxmlformats.org/officeDocument/2006/relationships/hyperlink" Target="https://www.ledsupply.com/accessories/lever-splitter-wire-connectors" TargetMode="External"/><Relationship Id="rId30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3"/>
  <sheetViews>
    <sheetView tabSelected="1" topLeftCell="A21" zoomScaleNormal="100" workbookViewId="0">
      <selection activeCell="E54" sqref="E54"/>
    </sheetView>
  </sheetViews>
  <sheetFormatPr baseColWidth="10" defaultRowHeight="16" x14ac:dyDescent="0.2"/>
  <cols>
    <col min="1" max="1" width="22" customWidth="1"/>
    <col min="2" max="2" width="16.83203125" customWidth="1"/>
    <col min="3" max="3" width="17.33203125" style="5" customWidth="1"/>
    <col min="4" max="4" width="36.33203125" customWidth="1"/>
    <col min="5" max="5" width="14.33203125" bestFit="1" customWidth="1"/>
    <col min="7" max="7" width="15.5" style="1" customWidth="1"/>
    <col min="8" max="8" width="12.6640625" style="1" bestFit="1" customWidth="1"/>
    <col min="10" max="10" width="45.5" customWidth="1"/>
    <col min="11" max="11" width="47.5" bestFit="1" customWidth="1"/>
  </cols>
  <sheetData>
    <row r="1" spans="1:11" x14ac:dyDescent="0.2">
      <c r="A1" s="2" t="s">
        <v>0</v>
      </c>
      <c r="B1" t="s">
        <v>1</v>
      </c>
    </row>
    <row r="2" spans="1:11" x14ac:dyDescent="0.2">
      <c r="A2" s="2" t="s">
        <v>2</v>
      </c>
    </row>
    <row r="3" spans="1:11" x14ac:dyDescent="0.2">
      <c r="A3" s="2" t="s">
        <v>3</v>
      </c>
      <c r="B3">
        <v>2</v>
      </c>
    </row>
    <row r="4" spans="1:11" x14ac:dyDescent="0.2">
      <c r="A4" s="2" t="s">
        <v>4</v>
      </c>
      <c r="B4" t="s">
        <v>5</v>
      </c>
    </row>
    <row r="5" spans="1:11" x14ac:dyDescent="0.2">
      <c r="A5" s="2" t="s">
        <v>6</v>
      </c>
    </row>
    <row r="6" spans="1:11" x14ac:dyDescent="0.2">
      <c r="A6" s="2" t="s">
        <v>7</v>
      </c>
      <c r="B6">
        <f>SUM(Table1[Qty])</f>
        <v>104.5</v>
      </c>
    </row>
    <row r="7" spans="1:11" x14ac:dyDescent="0.2">
      <c r="A7" s="2" t="s">
        <v>8</v>
      </c>
      <c r="B7" s="3">
        <f>SUM(Table1[Cost])</f>
        <v>588.54019999999991</v>
      </c>
    </row>
    <row r="10" spans="1:11" x14ac:dyDescent="0.2">
      <c r="A10" t="s">
        <v>9</v>
      </c>
      <c r="B10" t="s">
        <v>10</v>
      </c>
      <c r="C10" s="5" t="s">
        <v>11</v>
      </c>
      <c r="D10" t="s">
        <v>12</v>
      </c>
      <c r="E10" t="s">
        <v>13</v>
      </c>
      <c r="F10" t="s">
        <v>14</v>
      </c>
      <c r="G10" t="s">
        <v>15</v>
      </c>
      <c r="H10" s="1" t="s">
        <v>16</v>
      </c>
      <c r="I10" s="1" t="s">
        <v>17</v>
      </c>
      <c r="J10" t="s">
        <v>18</v>
      </c>
      <c r="K10" t="s">
        <v>19</v>
      </c>
    </row>
    <row r="11" spans="1:11" x14ac:dyDescent="0.2">
      <c r="C11" s="5" t="s">
        <v>20</v>
      </c>
      <c r="D11" t="s">
        <v>21</v>
      </c>
      <c r="E11" t="s">
        <v>22</v>
      </c>
      <c r="F11">
        <v>1</v>
      </c>
      <c r="G11" s="5" t="s">
        <v>23</v>
      </c>
      <c r="H11" s="1">
        <v>184.47</v>
      </c>
      <c r="I11" s="1">
        <f>Table1[[#This Row],[Qty]]*Table1[[#This Row],[Unit Cost]]</f>
        <v>184.47</v>
      </c>
      <c r="J11" s="4" t="s">
        <v>24</v>
      </c>
    </row>
    <row r="12" spans="1:11" x14ac:dyDescent="0.2">
      <c r="B12" t="s">
        <v>25</v>
      </c>
      <c r="D12" t="s">
        <v>25</v>
      </c>
      <c r="F12">
        <v>1</v>
      </c>
      <c r="G12" s="5" t="s">
        <v>23</v>
      </c>
      <c r="I12" s="1">
        <f>Table1[[#This Row],[Qty]]*Table1[[#This Row],[Unit Cost]]</f>
        <v>0</v>
      </c>
      <c r="J12" s="4" t="s">
        <v>26</v>
      </c>
    </row>
    <row r="13" spans="1:11" x14ac:dyDescent="0.2">
      <c r="B13" t="s">
        <v>25</v>
      </c>
      <c r="C13" s="5" t="s">
        <v>27</v>
      </c>
      <c r="D13" t="s">
        <v>28</v>
      </c>
      <c r="E13" t="s">
        <v>22</v>
      </c>
      <c r="F13">
        <v>4</v>
      </c>
      <c r="G13" s="5" t="s">
        <v>23</v>
      </c>
      <c r="H13" s="1">
        <v>5.76</v>
      </c>
      <c r="I13" s="1">
        <f>Table1[[#This Row],[Qty]]*Table1[[#This Row],[Unit Cost]]</f>
        <v>23.04</v>
      </c>
      <c r="J13" s="4" t="s">
        <v>29</v>
      </c>
    </row>
    <row r="14" spans="1:11" x14ac:dyDescent="0.2">
      <c r="A14" t="s">
        <v>30</v>
      </c>
      <c r="B14" t="s">
        <v>25</v>
      </c>
      <c r="C14" s="5" t="s">
        <v>31</v>
      </c>
      <c r="D14" t="s">
        <v>32</v>
      </c>
      <c r="E14" t="s">
        <v>33</v>
      </c>
      <c r="F14">
        <v>4</v>
      </c>
      <c r="G14" s="5" t="s">
        <v>23</v>
      </c>
      <c r="H14" s="1">
        <f>14.44/100</f>
        <v>0.1444</v>
      </c>
      <c r="I14" s="1">
        <f>Table1[[#This Row],[Qty]]*Table1[[#This Row],[Unit Cost]]</f>
        <v>0.5776</v>
      </c>
      <c r="J14" s="4" t="s">
        <v>34</v>
      </c>
    </row>
    <row r="15" spans="1:11" x14ac:dyDescent="0.2">
      <c r="A15" t="s">
        <v>30</v>
      </c>
      <c r="B15" t="s">
        <v>25</v>
      </c>
      <c r="C15" s="5" t="s">
        <v>35</v>
      </c>
      <c r="D15" t="s">
        <v>36</v>
      </c>
      <c r="E15" t="s">
        <v>33</v>
      </c>
      <c r="F15">
        <v>8</v>
      </c>
      <c r="G15" s="5" t="s">
        <v>23</v>
      </c>
      <c r="H15" s="1">
        <f>2.02/100</f>
        <v>2.0199999999999999E-2</v>
      </c>
      <c r="I15" s="1">
        <f>Table1[[#This Row],[Qty]]*Table1[[#This Row],[Unit Cost]]</f>
        <v>0.16159999999999999</v>
      </c>
      <c r="J15" s="4" t="s">
        <v>37</v>
      </c>
    </row>
    <row r="16" spans="1:11" x14ac:dyDescent="0.2">
      <c r="B16" t="s">
        <v>25</v>
      </c>
      <c r="C16" s="5" t="s">
        <v>38</v>
      </c>
      <c r="D16" t="s">
        <v>39</v>
      </c>
      <c r="E16" t="s">
        <v>40</v>
      </c>
      <c r="F16">
        <v>4</v>
      </c>
      <c r="G16" s="5" t="s">
        <v>41</v>
      </c>
      <c r="I16" s="1">
        <f>Table1[[#This Row],[Qty]]*Table1[[#This Row],[Unit Cost]]</f>
        <v>0</v>
      </c>
      <c r="J16" s="4" t="s">
        <v>42</v>
      </c>
    </row>
    <row r="17" spans="1:10" x14ac:dyDescent="0.2">
      <c r="A17" t="s">
        <v>43</v>
      </c>
      <c r="B17" t="s">
        <v>25</v>
      </c>
      <c r="D17" t="s">
        <v>44</v>
      </c>
      <c r="F17">
        <v>1</v>
      </c>
      <c r="G17" s="5" t="s">
        <v>23</v>
      </c>
      <c r="I17" s="1">
        <f>Table1[[#This Row],[Qty]]*Table1[[#This Row],[Unit Cost]]</f>
        <v>0</v>
      </c>
      <c r="J17" s="4"/>
    </row>
    <row r="18" spans="1:10" x14ac:dyDescent="0.2">
      <c r="A18" t="s">
        <v>43</v>
      </c>
      <c r="B18" t="s">
        <v>25</v>
      </c>
      <c r="D18" t="s">
        <v>45</v>
      </c>
      <c r="F18">
        <v>1</v>
      </c>
      <c r="G18" s="5" t="s">
        <v>23</v>
      </c>
      <c r="H18" s="1">
        <v>4.5</v>
      </c>
      <c r="I18" s="1">
        <f>Table1[[#This Row],[Qty]]*Table1[[#This Row],[Unit Cost]]</f>
        <v>4.5</v>
      </c>
      <c r="J18" s="4" t="s">
        <v>46</v>
      </c>
    </row>
    <row r="19" spans="1:10" x14ac:dyDescent="0.2">
      <c r="A19" t="s">
        <v>30</v>
      </c>
      <c r="B19" t="s">
        <v>47</v>
      </c>
      <c r="C19" s="5" t="s">
        <v>48</v>
      </c>
      <c r="D19" t="s">
        <v>49</v>
      </c>
      <c r="E19" t="s">
        <v>33</v>
      </c>
      <c r="F19">
        <v>4</v>
      </c>
      <c r="G19" s="5" t="s">
        <v>23</v>
      </c>
      <c r="H19" s="1">
        <f>13.88/25</f>
        <v>0.55520000000000003</v>
      </c>
      <c r="I19" s="1">
        <f>Table1[[#This Row],[Qty]]*Table1[[#This Row],[Unit Cost]]</f>
        <v>2.2208000000000001</v>
      </c>
      <c r="J19" s="4" t="s">
        <v>50</v>
      </c>
    </row>
    <row r="20" spans="1:10" x14ac:dyDescent="0.2">
      <c r="A20" t="s">
        <v>30</v>
      </c>
      <c r="B20" t="s">
        <v>47</v>
      </c>
      <c r="C20" s="5" t="s">
        <v>35</v>
      </c>
      <c r="D20" t="s">
        <v>36</v>
      </c>
      <c r="E20" t="s">
        <v>33</v>
      </c>
      <c r="F20">
        <v>4</v>
      </c>
      <c r="G20" s="5" t="s">
        <v>23</v>
      </c>
      <c r="H20" s="1">
        <v>0.02</v>
      </c>
      <c r="I20" s="1">
        <f>Table1[[#This Row],[Qty]]*Table1[[#This Row],[Unit Cost]]</f>
        <v>0.08</v>
      </c>
      <c r="J20" s="4" t="s">
        <v>37</v>
      </c>
    </row>
    <row r="21" spans="1:10" x14ac:dyDescent="0.2">
      <c r="A21" t="s">
        <v>30</v>
      </c>
      <c r="B21" t="s">
        <v>25</v>
      </c>
      <c r="C21" s="5" t="s">
        <v>51</v>
      </c>
      <c r="D21" t="s">
        <v>52</v>
      </c>
      <c r="E21" t="s">
        <v>33</v>
      </c>
      <c r="F21">
        <v>4</v>
      </c>
      <c r="G21" s="5" t="s">
        <v>23</v>
      </c>
      <c r="H21" s="1">
        <f>14.83/100</f>
        <v>0.14829999999999999</v>
      </c>
      <c r="I21" s="1">
        <f>Table1[[#This Row],[Qty]]*Table1[[#This Row],[Unit Cost]]</f>
        <v>0.59319999999999995</v>
      </c>
      <c r="J21" s="4" t="s">
        <v>53</v>
      </c>
    </row>
    <row r="22" spans="1:10" x14ac:dyDescent="0.2">
      <c r="B22" t="s">
        <v>47</v>
      </c>
      <c r="C22" s="5" t="s">
        <v>54</v>
      </c>
      <c r="D22" t="s">
        <v>55</v>
      </c>
      <c r="E22" t="s">
        <v>33</v>
      </c>
      <c r="F22">
        <v>1</v>
      </c>
      <c r="G22" s="5" t="s">
        <v>23</v>
      </c>
      <c r="H22" s="1">
        <v>2.89</v>
      </c>
      <c r="I22" s="1">
        <f>Table1[[#This Row],[Qty]]*Table1[[#This Row],[Unit Cost]]</f>
        <v>2.89</v>
      </c>
      <c r="J22" s="4" t="s">
        <v>56</v>
      </c>
    </row>
    <row r="23" spans="1:10" x14ac:dyDescent="0.2">
      <c r="B23" t="s">
        <v>47</v>
      </c>
      <c r="D23" t="s">
        <v>57</v>
      </c>
      <c r="E23" t="s">
        <v>40</v>
      </c>
      <c r="F23">
        <v>2</v>
      </c>
      <c r="G23" s="5" t="s">
        <v>23</v>
      </c>
      <c r="I23" s="1">
        <f>Table1[[#This Row],[Qty]]*Table1[[#This Row],[Unit Cost]]</f>
        <v>0</v>
      </c>
      <c r="J23" s="4" t="s">
        <v>58</v>
      </c>
    </row>
    <row r="24" spans="1:10" x14ac:dyDescent="0.2">
      <c r="B24" t="s">
        <v>47</v>
      </c>
      <c r="D24" t="s">
        <v>59</v>
      </c>
      <c r="E24" t="s">
        <v>40</v>
      </c>
      <c r="F24">
        <v>1</v>
      </c>
      <c r="G24" s="5" t="s">
        <v>23</v>
      </c>
      <c r="I24" s="1">
        <f>Table1[[#This Row],[Qty]]*Table1[[#This Row],[Unit Cost]]</f>
        <v>0</v>
      </c>
      <c r="J24" s="4" t="s">
        <v>60</v>
      </c>
    </row>
    <row r="25" spans="1:10" x14ac:dyDescent="0.2">
      <c r="B25" t="s">
        <v>47</v>
      </c>
      <c r="D25" t="s">
        <v>61</v>
      </c>
      <c r="E25" t="s">
        <v>40</v>
      </c>
      <c r="F25">
        <v>1</v>
      </c>
      <c r="G25" s="5" t="s">
        <v>23</v>
      </c>
      <c r="I25" s="1">
        <f>Table1[[#This Row],[Qty]]*Table1[[#This Row],[Unit Cost]]</f>
        <v>0</v>
      </c>
      <c r="J25" s="4" t="s">
        <v>62</v>
      </c>
    </row>
    <row r="26" spans="1:10" x14ac:dyDescent="0.2">
      <c r="A26" t="s">
        <v>43</v>
      </c>
      <c r="B26" t="s">
        <v>47</v>
      </c>
      <c r="D26" t="s">
        <v>63</v>
      </c>
      <c r="F26">
        <v>1</v>
      </c>
      <c r="G26" s="5"/>
      <c r="I26" s="1"/>
      <c r="J26" s="4"/>
    </row>
    <row r="27" spans="1:10" x14ac:dyDescent="0.2">
      <c r="A27" t="s">
        <v>43</v>
      </c>
      <c r="B27" t="s">
        <v>47</v>
      </c>
      <c r="D27" t="s">
        <v>64</v>
      </c>
      <c r="F27">
        <v>1</v>
      </c>
      <c r="G27" s="5"/>
      <c r="I27" s="1"/>
      <c r="J27" s="4"/>
    </row>
    <row r="28" spans="1:10" x14ac:dyDescent="0.2">
      <c r="A28" t="s">
        <v>43</v>
      </c>
      <c r="B28" t="s">
        <v>47</v>
      </c>
      <c r="D28" t="s">
        <v>65</v>
      </c>
      <c r="F28">
        <v>1</v>
      </c>
      <c r="G28" s="5" t="s">
        <v>23</v>
      </c>
      <c r="I28" s="1"/>
      <c r="J28" s="4"/>
    </row>
    <row r="29" spans="1:10" x14ac:dyDescent="0.2">
      <c r="B29" t="s">
        <v>47</v>
      </c>
      <c r="C29" s="5" t="s">
        <v>66</v>
      </c>
      <c r="D29" t="s">
        <v>67</v>
      </c>
      <c r="E29" t="s">
        <v>68</v>
      </c>
      <c r="F29">
        <v>1</v>
      </c>
      <c r="G29" s="5" t="s">
        <v>23</v>
      </c>
      <c r="H29" s="1">
        <v>11.34</v>
      </c>
      <c r="I29" s="1">
        <f>Table1[[#This Row],[Qty]]*Table1[[#This Row],[Unit Cost]]</f>
        <v>11.34</v>
      </c>
      <c r="J29" s="4" t="s">
        <v>69</v>
      </c>
    </row>
    <row r="30" spans="1:10" x14ac:dyDescent="0.2">
      <c r="B30" t="s">
        <v>47</v>
      </c>
      <c r="C30" s="5" t="s">
        <v>70</v>
      </c>
      <c r="D30" t="s">
        <v>71</v>
      </c>
      <c r="E30" t="s">
        <v>68</v>
      </c>
      <c r="F30">
        <v>1</v>
      </c>
      <c r="G30" s="5" t="s">
        <v>23</v>
      </c>
      <c r="H30" s="1">
        <v>5.14</v>
      </c>
      <c r="I30" s="1">
        <f>Table1[[#This Row],[Qty]]*Table1[[#This Row],[Unit Cost]]</f>
        <v>5.14</v>
      </c>
    </row>
    <row r="31" spans="1:10" x14ac:dyDescent="0.2">
      <c r="B31" t="s">
        <v>47</v>
      </c>
      <c r="C31" s="5">
        <v>10193</v>
      </c>
      <c r="D31" t="s">
        <v>72</v>
      </c>
      <c r="E31" t="s">
        <v>68</v>
      </c>
      <c r="F31">
        <v>1</v>
      </c>
      <c r="G31" s="5" t="s">
        <v>23</v>
      </c>
      <c r="H31" s="1">
        <v>1.71</v>
      </c>
      <c r="I31" s="1">
        <f>Table1[[#This Row],[Qty]]*Table1[[#This Row],[Unit Cost]]</f>
        <v>1.71</v>
      </c>
    </row>
    <row r="32" spans="1:10" x14ac:dyDescent="0.2">
      <c r="A32" t="s">
        <v>30</v>
      </c>
      <c r="B32" t="s">
        <v>47</v>
      </c>
      <c r="C32" s="5" t="s">
        <v>73</v>
      </c>
      <c r="D32" t="s">
        <v>74</v>
      </c>
      <c r="E32" t="s">
        <v>68</v>
      </c>
      <c r="F32">
        <v>1</v>
      </c>
      <c r="G32" s="5" t="s">
        <v>23</v>
      </c>
      <c r="H32" s="1">
        <v>1.92</v>
      </c>
      <c r="I32" s="1">
        <f>Table1[[#This Row],[Qty]]*Table1[[#This Row],[Unit Cost]]</f>
        <v>1.92</v>
      </c>
    </row>
    <row r="33" spans="1:10" x14ac:dyDescent="0.2">
      <c r="A33" t="s">
        <v>43</v>
      </c>
      <c r="B33" t="s">
        <v>47</v>
      </c>
      <c r="C33" s="5" t="s">
        <v>75</v>
      </c>
      <c r="D33" t="s">
        <v>76</v>
      </c>
      <c r="E33" t="s">
        <v>68</v>
      </c>
      <c r="F33">
        <v>1</v>
      </c>
      <c r="G33" s="5" t="s">
        <v>23</v>
      </c>
      <c r="H33" s="1">
        <v>17.239999999999998</v>
      </c>
      <c r="I33" s="1">
        <f>Table1[[#This Row],[Qty]]*Table1[[#This Row],[Unit Cost]]</f>
        <v>17.239999999999998</v>
      </c>
    </row>
    <row r="34" spans="1:10" x14ac:dyDescent="0.2">
      <c r="A34" t="s">
        <v>43</v>
      </c>
      <c r="B34" t="s">
        <v>47</v>
      </c>
      <c r="C34" s="5" t="s">
        <v>77</v>
      </c>
      <c r="D34" t="s">
        <v>78</v>
      </c>
      <c r="E34" t="s">
        <v>68</v>
      </c>
      <c r="F34">
        <v>1</v>
      </c>
      <c r="G34" s="5" t="s">
        <v>23</v>
      </c>
      <c r="H34" s="1">
        <v>2.56</v>
      </c>
      <c r="I34" s="1">
        <f>Table1[[#This Row],[Qty]]*Table1[[#This Row],[Unit Cost]]</f>
        <v>2.56</v>
      </c>
    </row>
    <row r="35" spans="1:10" x14ac:dyDescent="0.2">
      <c r="A35" t="s">
        <v>43</v>
      </c>
      <c r="B35" t="s">
        <v>47</v>
      </c>
      <c r="D35" t="s">
        <v>79</v>
      </c>
      <c r="F35">
        <v>1</v>
      </c>
      <c r="G35" s="5" t="s">
        <v>23</v>
      </c>
      <c r="I35" s="1">
        <f>Table1[[#This Row],[Qty]]*Table1[[#This Row],[Unit Cost]]</f>
        <v>0</v>
      </c>
    </row>
    <row r="36" spans="1:10" x14ac:dyDescent="0.2">
      <c r="B36" t="s">
        <v>80</v>
      </c>
      <c r="D36" t="s">
        <v>81</v>
      </c>
      <c r="F36">
        <v>1</v>
      </c>
      <c r="G36" s="5" t="s">
        <v>23</v>
      </c>
      <c r="H36" s="1">
        <v>80</v>
      </c>
      <c r="I36" s="1">
        <f>Table1[[#This Row],[Qty]]*Table1[[#This Row],[Unit Cost]]</f>
        <v>80</v>
      </c>
    </row>
    <row r="37" spans="1:10" x14ac:dyDescent="0.2">
      <c r="B37" t="s">
        <v>80</v>
      </c>
      <c r="D37" t="s">
        <v>82</v>
      </c>
      <c r="E37" t="s">
        <v>40</v>
      </c>
      <c r="F37">
        <v>1</v>
      </c>
      <c r="G37" s="5" t="s">
        <v>23</v>
      </c>
      <c r="I37" s="1">
        <f>Table1[[#This Row],[Qty]]*Table1[[#This Row],[Unit Cost]]</f>
        <v>0</v>
      </c>
    </row>
    <row r="38" spans="1:10" x14ac:dyDescent="0.2">
      <c r="B38" t="s">
        <v>80</v>
      </c>
      <c r="D38" t="s">
        <v>83</v>
      </c>
      <c r="E38" t="s">
        <v>40</v>
      </c>
      <c r="F38">
        <v>1</v>
      </c>
      <c r="G38" s="5" t="s">
        <v>23</v>
      </c>
      <c r="I38" s="1">
        <f>Table1[[#This Row],[Qty]]*Table1[[#This Row],[Unit Cost]]</f>
        <v>0</v>
      </c>
      <c r="J38" s="6" t="s">
        <v>84</v>
      </c>
    </row>
    <row r="39" spans="1:10" x14ac:dyDescent="0.2">
      <c r="B39" t="s">
        <v>80</v>
      </c>
      <c r="D39" t="s">
        <v>85</v>
      </c>
      <c r="E39" t="s">
        <v>40</v>
      </c>
      <c r="F39">
        <v>1</v>
      </c>
      <c r="G39" s="5" t="s">
        <v>23</v>
      </c>
      <c r="I39" s="1">
        <f>Table1[[#This Row],[Qty]]*Table1[[#This Row],[Unit Cost]]</f>
        <v>0</v>
      </c>
      <c r="J39" s="6" t="s">
        <v>86</v>
      </c>
    </row>
    <row r="40" spans="1:10" x14ac:dyDescent="0.2">
      <c r="B40" t="s">
        <v>80</v>
      </c>
      <c r="D40" t="s">
        <v>87</v>
      </c>
      <c r="F40">
        <v>1</v>
      </c>
      <c r="G40" s="5" t="s">
        <v>23</v>
      </c>
      <c r="I40" s="1">
        <f>Table1[[#This Row],[Qty]]*Table1[[#This Row],[Unit Cost]]</f>
        <v>0</v>
      </c>
    </row>
    <row r="41" spans="1:10" x14ac:dyDescent="0.2">
      <c r="A41" t="s">
        <v>30</v>
      </c>
      <c r="B41" t="s">
        <v>80</v>
      </c>
      <c r="C41" s="5" t="s">
        <v>88</v>
      </c>
      <c r="D41" t="s">
        <v>89</v>
      </c>
      <c r="E41" t="s">
        <v>33</v>
      </c>
      <c r="F41">
        <v>5</v>
      </c>
      <c r="G41" s="5" t="s">
        <v>23</v>
      </c>
      <c r="H41" s="1">
        <f>17.78/100</f>
        <v>0.17780000000000001</v>
      </c>
      <c r="I41" s="1">
        <f>Table1[[#This Row],[Qty]]*Table1[[#This Row],[Unit Cost]]</f>
        <v>0.88900000000000001</v>
      </c>
      <c r="J41" s="4" t="s">
        <v>90</v>
      </c>
    </row>
    <row r="42" spans="1:10" x14ac:dyDescent="0.2">
      <c r="A42" t="s">
        <v>30</v>
      </c>
      <c r="B42" t="s">
        <v>80</v>
      </c>
      <c r="C42" s="5" t="s">
        <v>91</v>
      </c>
      <c r="D42" t="s">
        <v>92</v>
      </c>
      <c r="E42" t="s">
        <v>33</v>
      </c>
      <c r="F42">
        <v>1</v>
      </c>
      <c r="G42" s="5" t="s">
        <v>23</v>
      </c>
      <c r="H42" s="1">
        <f>3.06/100</f>
        <v>3.0600000000000002E-2</v>
      </c>
      <c r="I42" s="1">
        <f>Table1[[#This Row],[Qty]]*Table1[[#This Row],[Unit Cost]]</f>
        <v>3.0600000000000002E-2</v>
      </c>
      <c r="J42" s="4" t="s">
        <v>93</v>
      </c>
    </row>
    <row r="43" spans="1:10" x14ac:dyDescent="0.2">
      <c r="A43" t="s">
        <v>94</v>
      </c>
      <c r="B43" t="s">
        <v>94</v>
      </c>
      <c r="C43" s="5" t="s">
        <v>95</v>
      </c>
      <c r="D43" t="s">
        <v>96</v>
      </c>
      <c r="E43" t="s">
        <v>97</v>
      </c>
      <c r="F43">
        <v>1</v>
      </c>
      <c r="G43" s="5" t="s">
        <v>23</v>
      </c>
      <c r="H43" s="1">
        <v>229</v>
      </c>
      <c r="I43" s="1">
        <f>Table1[[#This Row],[Qty]]*Table1[[#This Row],[Unit Cost]]</f>
        <v>229</v>
      </c>
      <c r="J43" s="4" t="s">
        <v>98</v>
      </c>
    </row>
    <row r="44" spans="1:10" x14ac:dyDescent="0.2">
      <c r="B44" t="s">
        <v>94</v>
      </c>
      <c r="D44" t="s">
        <v>99</v>
      </c>
      <c r="F44">
        <v>1</v>
      </c>
      <c r="G44" s="5" t="s">
        <v>23</v>
      </c>
      <c r="I44" s="1">
        <f>Table1[[#This Row],[Qty]]*Table1[[#This Row],[Unit Cost]]</f>
        <v>0</v>
      </c>
      <c r="J44" s="4"/>
    </row>
    <row r="45" spans="1:10" x14ac:dyDescent="0.2">
      <c r="A45" t="s">
        <v>30</v>
      </c>
      <c r="B45" t="s">
        <v>94</v>
      </c>
      <c r="C45" s="5" t="s">
        <v>100</v>
      </c>
      <c r="D45" t="s">
        <v>101</v>
      </c>
      <c r="E45" t="s">
        <v>33</v>
      </c>
      <c r="F45">
        <v>6</v>
      </c>
      <c r="G45" s="5" t="s">
        <v>23</v>
      </c>
      <c r="H45" s="1">
        <f>17.63/100</f>
        <v>0.17629999999999998</v>
      </c>
      <c r="I45" s="1">
        <f>Table1[[#This Row],[Qty]]*Table1[[#This Row],[Unit Cost]]</f>
        <v>1.0577999999999999</v>
      </c>
      <c r="J45" s="4" t="s">
        <v>102</v>
      </c>
    </row>
    <row r="46" spans="1:10" x14ac:dyDescent="0.2">
      <c r="A46" t="s">
        <v>30</v>
      </c>
      <c r="B46" t="s">
        <v>94</v>
      </c>
      <c r="C46" s="5" t="s">
        <v>103</v>
      </c>
      <c r="D46" t="s">
        <v>104</v>
      </c>
      <c r="E46" t="s">
        <v>33</v>
      </c>
      <c r="F46">
        <v>6</v>
      </c>
      <c r="G46" s="5" t="s">
        <v>23</v>
      </c>
      <c r="H46" s="1">
        <f>3/100</f>
        <v>0.03</v>
      </c>
      <c r="I46" s="1">
        <f>Table1[[#This Row],[Qty]]*Table1[[#This Row],[Unit Cost]]</f>
        <v>0.18</v>
      </c>
      <c r="J46" s="4" t="s">
        <v>105</v>
      </c>
    </row>
    <row r="47" spans="1:10" x14ac:dyDescent="0.2">
      <c r="B47" t="s">
        <v>94</v>
      </c>
      <c r="D47" t="s">
        <v>106</v>
      </c>
      <c r="F47">
        <v>1</v>
      </c>
      <c r="G47" s="5" t="s">
        <v>23</v>
      </c>
      <c r="H47" s="1">
        <v>5</v>
      </c>
      <c r="I47" s="1">
        <f>Table1[[#This Row],[Qty]]*Table1[[#This Row],[Unit Cost]]</f>
        <v>5</v>
      </c>
      <c r="J47" s="4" t="s">
        <v>107</v>
      </c>
    </row>
    <row r="48" spans="1:10" x14ac:dyDescent="0.2">
      <c r="A48" t="s">
        <v>43</v>
      </c>
      <c r="B48" t="s">
        <v>108</v>
      </c>
      <c r="D48" t="s">
        <v>109</v>
      </c>
      <c r="E48" t="s">
        <v>110</v>
      </c>
      <c r="F48">
        <v>1</v>
      </c>
      <c r="G48" s="5" t="s">
        <v>23</v>
      </c>
      <c r="H48" s="1">
        <v>0</v>
      </c>
      <c r="I48" s="1">
        <f>Table1[[#This Row],[Qty]]*Table1[[#This Row],[Unit Cost]]</f>
        <v>0</v>
      </c>
      <c r="J48" s="6" t="s">
        <v>111</v>
      </c>
    </row>
    <row r="49" spans="1:11" x14ac:dyDescent="0.2">
      <c r="A49" t="s">
        <v>30</v>
      </c>
      <c r="B49" t="s">
        <v>108</v>
      </c>
      <c r="D49" t="s">
        <v>112</v>
      </c>
      <c r="E49" t="s">
        <v>33</v>
      </c>
      <c r="F49">
        <v>2</v>
      </c>
      <c r="G49" s="5" t="s">
        <v>23</v>
      </c>
      <c r="H49" s="1">
        <f>11.38/50</f>
        <v>0.22760000000000002</v>
      </c>
      <c r="I49" s="1">
        <f>Table1[[#This Row],[Qty]]*Table1[[#This Row],[Unit Cost]]</f>
        <v>0.45520000000000005</v>
      </c>
      <c r="J49" s="4" t="s">
        <v>113</v>
      </c>
    </row>
    <row r="50" spans="1:11" x14ac:dyDescent="0.2">
      <c r="B50" t="s">
        <v>108</v>
      </c>
      <c r="D50" t="s">
        <v>114</v>
      </c>
      <c r="E50" t="s">
        <v>115</v>
      </c>
      <c r="F50">
        <v>1</v>
      </c>
      <c r="G50" s="5" t="s">
        <v>23</v>
      </c>
      <c r="I50" s="1">
        <f>Table1[[#This Row],[Qty]]*Table1[[#This Row],[Unit Cost]]</f>
        <v>0</v>
      </c>
      <c r="J50" s="4" t="s">
        <v>116</v>
      </c>
    </row>
    <row r="51" spans="1:11" x14ac:dyDescent="0.2">
      <c r="B51" t="s">
        <v>108</v>
      </c>
      <c r="D51" t="s">
        <v>117</v>
      </c>
      <c r="F51">
        <v>1</v>
      </c>
      <c r="G51" s="5" t="s">
        <v>23</v>
      </c>
      <c r="I51" s="1">
        <f>Table1[[#This Row],[Qty]]*Table1[[#This Row],[Unit Cost]]</f>
        <v>0</v>
      </c>
      <c r="J51" s="6" t="s">
        <v>118</v>
      </c>
    </row>
    <row r="52" spans="1:11" x14ac:dyDescent="0.2">
      <c r="A52" t="s">
        <v>30</v>
      </c>
      <c r="B52" t="s">
        <v>108</v>
      </c>
      <c r="C52" s="5" t="s">
        <v>119</v>
      </c>
      <c r="D52" t="s">
        <v>120</v>
      </c>
      <c r="E52" t="s">
        <v>33</v>
      </c>
      <c r="F52">
        <v>3</v>
      </c>
      <c r="G52" s="5" t="s">
        <v>23</v>
      </c>
      <c r="H52" s="1">
        <f>7.57/100</f>
        <v>7.5700000000000003E-2</v>
      </c>
      <c r="I52" s="1">
        <f>Table1[[#This Row],[Qty]]*Table1[[#This Row],[Unit Cost]]</f>
        <v>0.22710000000000002</v>
      </c>
      <c r="J52" t="s">
        <v>121</v>
      </c>
    </row>
    <row r="53" spans="1:11" x14ac:dyDescent="0.2">
      <c r="A53" t="s">
        <v>30</v>
      </c>
      <c r="B53" t="s">
        <v>108</v>
      </c>
      <c r="C53" s="5" t="s">
        <v>122</v>
      </c>
      <c r="D53" t="s">
        <v>123</v>
      </c>
      <c r="E53" t="s">
        <v>33</v>
      </c>
      <c r="F53">
        <v>3</v>
      </c>
      <c r="G53" s="5" t="s">
        <v>23</v>
      </c>
      <c r="H53" s="1">
        <f>7.41/100</f>
        <v>7.4099999999999999E-2</v>
      </c>
      <c r="I53" s="1">
        <f>Table1[[#This Row],[Qty]]*Table1[[#This Row],[Unit Cost]]</f>
        <v>0.2223</v>
      </c>
      <c r="J53" s="4" t="s">
        <v>124</v>
      </c>
    </row>
    <row r="54" spans="1:11" x14ac:dyDescent="0.2">
      <c r="B54" t="s">
        <v>108</v>
      </c>
      <c r="C54" s="5" t="s">
        <v>151</v>
      </c>
      <c r="D54" t="s">
        <v>150</v>
      </c>
      <c r="E54" t="s">
        <v>33</v>
      </c>
      <c r="F54">
        <v>1</v>
      </c>
      <c r="G54" s="5" t="s">
        <v>23</v>
      </c>
      <c r="H54" s="7">
        <v>4.95</v>
      </c>
      <c r="I54" s="7">
        <f>Table1[[#This Row],[Qty]]*Table1[[#This Row],[Unit Cost]]</f>
        <v>4.95</v>
      </c>
      <c r="J54" s="4" t="s">
        <v>149</v>
      </c>
    </row>
    <row r="55" spans="1:11" x14ac:dyDescent="0.2">
      <c r="B55" t="s">
        <v>125</v>
      </c>
      <c r="D55" t="s">
        <v>126</v>
      </c>
      <c r="G55" s="5" t="s">
        <v>23</v>
      </c>
      <c r="I55" s="1">
        <f>Table1[[#This Row],[Qty]]*Table1[[#This Row],[Unit Cost]]</f>
        <v>0</v>
      </c>
      <c r="J55" t="s">
        <v>127</v>
      </c>
    </row>
    <row r="56" spans="1:11" x14ac:dyDescent="0.2">
      <c r="B56" t="s">
        <v>125</v>
      </c>
      <c r="D56" t="s">
        <v>128</v>
      </c>
      <c r="F56">
        <v>1</v>
      </c>
      <c r="G56" s="5" t="s">
        <v>23</v>
      </c>
      <c r="I56" s="1">
        <f>Table1[[#This Row],[Qty]]*Table1[[#This Row],[Unit Cost]]</f>
        <v>0</v>
      </c>
      <c r="J56" s="6" t="s">
        <v>129</v>
      </c>
      <c r="K56" t="s">
        <v>130</v>
      </c>
    </row>
    <row r="57" spans="1:11" x14ac:dyDescent="0.2">
      <c r="B57" t="s">
        <v>125</v>
      </c>
      <c r="C57" s="5" t="s">
        <v>131</v>
      </c>
      <c r="D57" t="s">
        <v>132</v>
      </c>
      <c r="E57" t="s">
        <v>133</v>
      </c>
      <c r="F57">
        <v>1</v>
      </c>
      <c r="G57" s="5" t="s">
        <v>23</v>
      </c>
      <c r="H57" s="1">
        <v>1.08</v>
      </c>
      <c r="I57" s="1">
        <f>Table1[[#This Row],[Qty]]*Table1[[#This Row],[Unit Cost]]</f>
        <v>1.08</v>
      </c>
      <c r="J57" t="s">
        <v>134</v>
      </c>
    </row>
    <row r="58" spans="1:11" x14ac:dyDescent="0.2">
      <c r="B58" t="s">
        <v>125</v>
      </c>
      <c r="D58" t="s">
        <v>135</v>
      </c>
      <c r="G58" s="5" t="s">
        <v>23</v>
      </c>
      <c r="I58" s="1">
        <f>Table1[[#This Row],[Qty]]*Table1[[#This Row],[Unit Cost]]</f>
        <v>0</v>
      </c>
    </row>
    <row r="59" spans="1:11" x14ac:dyDescent="0.2">
      <c r="A59" t="s">
        <v>43</v>
      </c>
      <c r="B59" t="s">
        <v>136</v>
      </c>
      <c r="C59" s="5" t="s">
        <v>137</v>
      </c>
      <c r="D59" t="s">
        <v>138</v>
      </c>
      <c r="E59" t="s">
        <v>68</v>
      </c>
      <c r="F59">
        <v>1</v>
      </c>
      <c r="G59" s="5" t="s">
        <v>23</v>
      </c>
      <c r="H59" s="1">
        <v>1.49</v>
      </c>
      <c r="I59" s="1">
        <f>Table1[[#This Row],[Qty]]*Table1[[#This Row],[Unit Cost]]</f>
        <v>1.49</v>
      </c>
      <c r="J59" s="4" t="s">
        <v>139</v>
      </c>
    </row>
    <row r="60" spans="1:11" x14ac:dyDescent="0.2">
      <c r="A60" t="s">
        <v>30</v>
      </c>
      <c r="B60" t="s">
        <v>136</v>
      </c>
      <c r="C60" s="5" t="s">
        <v>140</v>
      </c>
      <c r="D60" t="s">
        <v>141</v>
      </c>
      <c r="E60" t="s">
        <v>33</v>
      </c>
      <c r="F60">
        <v>6</v>
      </c>
      <c r="G60" s="5" t="s">
        <v>23</v>
      </c>
      <c r="H60" s="1">
        <f>8.44/100</f>
        <v>8.4399999999999989E-2</v>
      </c>
      <c r="I60" s="1">
        <f>Table1[[#This Row],[Qty]]*Table1[[#This Row],[Unit Cost]]</f>
        <v>0.50639999999999996</v>
      </c>
      <c r="J60" s="4" t="s">
        <v>142</v>
      </c>
    </row>
    <row r="61" spans="1:11" x14ac:dyDescent="0.2">
      <c r="A61" t="s">
        <v>30</v>
      </c>
      <c r="B61" t="s">
        <v>136</v>
      </c>
      <c r="C61" s="5" t="s">
        <v>91</v>
      </c>
      <c r="D61" t="s">
        <v>143</v>
      </c>
      <c r="E61" t="s">
        <v>33</v>
      </c>
      <c r="F61">
        <v>6</v>
      </c>
      <c r="G61" s="5" t="s">
        <v>23</v>
      </c>
      <c r="H61" s="1">
        <f>3.06/100</f>
        <v>3.0600000000000002E-2</v>
      </c>
      <c r="I61" s="1">
        <f>Table1[[#This Row],[Qty]]*Table1[[#This Row],[Unit Cost]]</f>
        <v>0.18360000000000001</v>
      </c>
    </row>
    <row r="62" spans="1:11" x14ac:dyDescent="0.2">
      <c r="A62" t="s">
        <v>43</v>
      </c>
      <c r="B62" t="s">
        <v>136</v>
      </c>
      <c r="D62" t="s">
        <v>144</v>
      </c>
      <c r="G62" s="5" t="s">
        <v>23</v>
      </c>
      <c r="I62" s="1">
        <f>Table1[[#This Row],[Qty]]*Table1[[#This Row],[Unit Cost]]</f>
        <v>0</v>
      </c>
    </row>
    <row r="63" spans="1:11" x14ac:dyDescent="0.2">
      <c r="B63" t="s">
        <v>136</v>
      </c>
      <c r="C63" s="5" t="s">
        <v>145</v>
      </c>
      <c r="D63" t="s">
        <v>146</v>
      </c>
      <c r="E63" t="s">
        <v>33</v>
      </c>
      <c r="F63">
        <v>0.5</v>
      </c>
      <c r="G63" s="5" t="s">
        <v>23</v>
      </c>
      <c r="H63" s="1">
        <v>9.65</v>
      </c>
      <c r="I63" s="1">
        <f>Table1[[#This Row],[Qty]]*Table1[[#This Row],[Unit Cost]]</f>
        <v>4.8250000000000002</v>
      </c>
      <c r="J63" t="s">
        <v>147</v>
      </c>
      <c r="K63" t="s">
        <v>148</v>
      </c>
    </row>
  </sheetData>
  <hyperlinks>
    <hyperlink ref="J11" r:id="rId1" xr:uid="{00000000-0004-0000-0000-000000000000}"/>
    <hyperlink ref="J12" r:id="rId2" xr:uid="{00000000-0004-0000-0000-000001000000}"/>
    <hyperlink ref="J13" r:id="rId3" xr:uid="{00000000-0004-0000-0000-000002000000}"/>
    <hyperlink ref="J15" r:id="rId4" xr:uid="{00000000-0004-0000-0000-000003000000}"/>
    <hyperlink ref="J16" r:id="rId5" xr:uid="{00000000-0004-0000-0000-000004000000}"/>
    <hyperlink ref="J19" r:id="rId6" xr:uid="{00000000-0004-0000-0000-000005000000}"/>
    <hyperlink ref="J20" r:id="rId7" xr:uid="{00000000-0004-0000-0000-000006000000}"/>
    <hyperlink ref="J21" r:id="rId8" xr:uid="{00000000-0004-0000-0000-000007000000}"/>
    <hyperlink ref="J22" r:id="rId9" xr:uid="{00000000-0004-0000-0000-000008000000}"/>
    <hyperlink ref="J23" r:id="rId10" xr:uid="{00000000-0004-0000-0000-000009000000}"/>
    <hyperlink ref="J24" r:id="rId11" xr:uid="{00000000-0004-0000-0000-00000A000000}"/>
    <hyperlink ref="J25" r:id="rId12" xr:uid="{00000000-0004-0000-0000-00000B000000}"/>
    <hyperlink ref="J29" r:id="rId13" xr:uid="{00000000-0004-0000-0000-00000C000000}"/>
    <hyperlink ref="J38" r:id="rId14" xr:uid="{00000000-0004-0000-0000-00000D000000}"/>
    <hyperlink ref="J39" r:id="rId15" xr:uid="{00000000-0004-0000-0000-00000E000000}"/>
    <hyperlink ref="J41" r:id="rId16" xr:uid="{00000000-0004-0000-0000-00000F000000}"/>
    <hyperlink ref="J42" r:id="rId17" xr:uid="{00000000-0004-0000-0000-000010000000}"/>
    <hyperlink ref="J43" r:id="rId18" xr:uid="{00000000-0004-0000-0000-000011000000}"/>
    <hyperlink ref="J45" r:id="rId19" xr:uid="{00000000-0004-0000-0000-000012000000}"/>
    <hyperlink ref="J46" r:id="rId20" xr:uid="{00000000-0004-0000-0000-000013000000}"/>
    <hyperlink ref="J47" r:id="rId21" xr:uid="{00000000-0004-0000-0000-000014000000}"/>
    <hyperlink ref="J48" r:id="rId22" xr:uid="{00000000-0004-0000-0000-000015000000}"/>
    <hyperlink ref="J49" r:id="rId23" xr:uid="{00000000-0004-0000-0000-000016000000}"/>
    <hyperlink ref="J51" r:id="rId24" xr:uid="{00000000-0004-0000-0000-000017000000}"/>
    <hyperlink ref="J53" r:id="rId25" xr:uid="{00000000-0004-0000-0000-000018000000}"/>
    <hyperlink ref="J56" r:id="rId26" xr:uid="{00000000-0004-0000-0000-000019000000}"/>
    <hyperlink ref="J59" r:id="rId27" xr:uid="{00000000-0004-0000-0000-00001A000000}"/>
    <hyperlink ref="J60" r:id="rId28" xr:uid="{00000000-0004-0000-0000-00001B000000}"/>
    <hyperlink ref="J54" r:id="rId29" xr:uid="{E0F0E1BC-BF9F-EC41-B567-F34F9756DE29}"/>
  </hyperlinks>
  <pageMargins left="0.7" right="0.7" top="0.75" bottom="0.75" header="0.3" footer="0.3"/>
  <tableParts count="1">
    <tablePart r:id="rId3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Lehenbauer, Isabel</dc:creator>
  <cp:lastModifiedBy>Lehenbauer, Isabel</cp:lastModifiedBy>
  <dcterms:created xsi:type="dcterms:W3CDTF">2026-06-09T17:42:51Z</dcterms:created>
  <dcterms:modified xsi:type="dcterms:W3CDTF">2026-07-09T16:40:17Z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906ff0-52ec-452d-8c5e-cde77f900816_Enabled">
    <vt:lpwstr>true</vt:lpwstr>
  </property>
  <property fmtid="{D5CDD505-2E9C-101B-9397-08002B2CF9AE}" pid="3" name="MSIP_Label_e8906ff0-52ec-452d-8c5e-cde77f900816_SetDate">
    <vt:lpwstr>2026-06-09T17:42:57Z</vt:lpwstr>
  </property>
  <property fmtid="{D5CDD505-2E9C-101B-9397-08002B2CF9AE}" pid="4" name="MSIP_Label_e8906ff0-52ec-452d-8c5e-cde77f900816_Method">
    <vt:lpwstr>Standard</vt:lpwstr>
  </property>
  <property fmtid="{D5CDD505-2E9C-101B-9397-08002B2CF9AE}" pid="5" name="MSIP_Label_e8906ff0-52ec-452d-8c5e-cde77f900816_Name">
    <vt:lpwstr>e8906ff0-52ec-452d-8c5e-cde77f900816</vt:lpwstr>
  </property>
  <property fmtid="{D5CDD505-2E9C-101B-9397-08002B2CF9AE}" pid="6" name="MSIP_Label_e8906ff0-52ec-452d-8c5e-cde77f900816_SiteId">
    <vt:lpwstr>dd8acbd0-ad85-4eb9-8a76-871027ad4a1b</vt:lpwstr>
  </property>
  <property fmtid="{D5CDD505-2E9C-101B-9397-08002B2CF9AE}" pid="7" name="MSIP_Label_e8906ff0-52ec-452d-8c5e-cde77f900816_ActionId">
    <vt:lpwstr>0892ab32-a871-4a2e-92eb-c853ae5a9a12</vt:lpwstr>
  </property>
  <property fmtid="{D5CDD505-2E9C-101B-9397-08002B2CF9AE}" pid="8" name="MSIP_Label_e8906ff0-52ec-452d-8c5e-cde77f900816_ContentBits">
    <vt:lpwstr>0</vt:lpwstr>
  </property>
  <property fmtid="{D5CDD505-2E9C-101B-9397-08002B2CF9AE}" pid="9" name="MSIP_Label_e8906ff0-52ec-452d-8c5e-cde77f900816_Tag">
    <vt:lpwstr>50, 3, 0, 1</vt:lpwstr>
  </property>
</Properties>
</file>