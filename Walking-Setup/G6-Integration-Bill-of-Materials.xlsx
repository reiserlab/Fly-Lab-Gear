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henbaueri/Documents/GitHub/Fly-Lab-Gear/Walking-Setup/"/>
    </mc:Choice>
  </mc:AlternateContent>
  <xr:revisionPtr revIDLastSave="0" documentId="13_ncr:1_{5F0756BC-E670-E94D-80A9-306FBE7EB1A1}" xr6:coauthVersionLast="47" xr6:coauthVersionMax="47" xr10:uidLastSave="{00000000-0000-0000-0000-000000000000}"/>
  <bookViews>
    <workbookView xWindow="1640" yWindow="660" windowWidth="27460" windowHeight="18980" xr2:uid="{1DD35749-F480-5B49-A82C-F7D601ECF7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4" i="1" l="1"/>
  <c r="J22" i="1"/>
  <c r="I21" i="1"/>
  <c r="I19" i="1"/>
  <c r="J19" i="1" s="1"/>
  <c r="J14" i="1"/>
  <c r="J21" i="1"/>
  <c r="J40" i="1"/>
  <c r="J17" i="1"/>
  <c r="J18" i="1"/>
  <c r="J34" i="1"/>
  <c r="J37" i="1"/>
  <c r="J30" i="1"/>
  <c r="J31" i="1"/>
  <c r="J32" i="1"/>
  <c r="J24" i="1"/>
  <c r="J23" i="1"/>
  <c r="J25" i="1"/>
  <c r="J20" i="1"/>
  <c r="J33" i="1"/>
  <c r="J35" i="1"/>
  <c r="J36" i="1"/>
  <c r="J57" i="1"/>
  <c r="J56" i="1"/>
  <c r="J55" i="1"/>
  <c r="J54" i="1"/>
  <c r="J16" i="1"/>
  <c r="I15" i="1"/>
  <c r="J15" i="1" s="1"/>
  <c r="J13" i="1"/>
  <c r="J47" i="1"/>
  <c r="J52" i="1"/>
  <c r="J12" i="1"/>
  <c r="I49" i="1"/>
  <c r="J49" i="1" s="1"/>
  <c r="I45" i="1"/>
  <c r="J45" i="1" s="1"/>
  <c r="I48" i="1"/>
  <c r="J48" i="1" s="1"/>
  <c r="I44" i="1"/>
  <c r="J44" i="1" s="1"/>
  <c r="I51" i="1"/>
  <c r="J51" i="1" s="1"/>
  <c r="J53" i="1"/>
  <c r="C6" i="1"/>
  <c r="J50" i="1"/>
  <c r="J46" i="1"/>
  <c r="J42" i="1"/>
  <c r="J39" i="1"/>
  <c r="J29" i="1"/>
  <c r="J41" i="1"/>
  <c r="J43" i="1"/>
  <c r="J11" i="1"/>
  <c r="C7" i="1" l="1"/>
</calcChain>
</file>

<file path=xl/sharedStrings.xml><?xml version="1.0" encoding="utf-8"?>
<sst xmlns="http://schemas.openxmlformats.org/spreadsheetml/2006/main" count="241" uniqueCount="120">
  <si>
    <t>Part No.</t>
  </si>
  <si>
    <t>Qty</t>
  </si>
  <si>
    <t>Cost</t>
  </si>
  <si>
    <t>Category</t>
  </si>
  <si>
    <t>Part Name</t>
  </si>
  <si>
    <t>Units</t>
  </si>
  <si>
    <t>Unit Cost</t>
  </si>
  <si>
    <t>Supplier</t>
  </si>
  <si>
    <t>Name</t>
  </si>
  <si>
    <t>Number</t>
  </si>
  <si>
    <t>Revision</t>
  </si>
  <si>
    <t>Approval date</t>
  </si>
  <si>
    <t>Part count</t>
  </si>
  <si>
    <t>Total cost</t>
  </si>
  <si>
    <t>Engineer</t>
  </si>
  <si>
    <t>Isabel Lehenbauer</t>
  </si>
  <si>
    <t>12" x 12" Breadboard</t>
  </si>
  <si>
    <t>Thorlabs</t>
  </si>
  <si>
    <t>Subassembly</t>
  </si>
  <si>
    <t>Optostim</t>
  </si>
  <si>
    <t>Hardware</t>
  </si>
  <si>
    <t>each</t>
  </si>
  <si>
    <t>Link</t>
  </si>
  <si>
    <t>Fly Holder</t>
  </si>
  <si>
    <t>Micromanipulator</t>
  </si>
  <si>
    <t>Fly holder stand</t>
  </si>
  <si>
    <t>3D Printed</t>
  </si>
  <si>
    <t>Camera</t>
  </si>
  <si>
    <t>Treadmill</t>
  </si>
  <si>
    <t>Teledyne Flir</t>
  </si>
  <si>
    <t>FFY-U3-04S2M-S</t>
  </si>
  <si>
    <t>Flir Firefly S USB3: 0.4 MP, Mono, S-mount</t>
  </si>
  <si>
    <t>1/4-20 by 3/4" cap screw</t>
  </si>
  <si>
    <t>McMaster Carr</t>
  </si>
  <si>
    <t>Integrated Camera + treadmill</t>
  </si>
  <si>
    <t>M2x0.4, 4mm cap screw</t>
  </si>
  <si>
    <t>g</t>
  </si>
  <si>
    <t>Digikey</t>
  </si>
  <si>
    <t>https://www.mcmaster.com/91251A540/</t>
  </si>
  <si>
    <t>https://www.mcmaster.com/91290A125/</t>
  </si>
  <si>
    <t>M3x0.5 screws, 25 mm</t>
  </si>
  <si>
    <t>M3x0.5 nut, 2mm</t>
  </si>
  <si>
    <t>https://www.mcmaster.com/91290A011/</t>
  </si>
  <si>
    <t>M2 washer</t>
  </si>
  <si>
    <t>91290A011</t>
  </si>
  <si>
    <t>91290A125</t>
  </si>
  <si>
    <t>https://www.mcmaster.com/90591A250/</t>
  </si>
  <si>
    <t>90591A250</t>
  </si>
  <si>
    <t>Needle blank</t>
  </si>
  <si>
    <t>https://www.mcmaster.com/91166A180/</t>
  </si>
  <si>
    <t>91166A180</t>
  </si>
  <si>
    <t>https://www.thorlabs.com/item/MB12</t>
  </si>
  <si>
    <t>MB12</t>
  </si>
  <si>
    <t>G6 Arena</t>
  </si>
  <si>
    <t>Ball</t>
  </si>
  <si>
    <t>General Plastics</t>
  </si>
  <si>
    <t>https://www.generalplastics.com/products/fr-7100</t>
  </si>
  <si>
    <t>Lens</t>
  </si>
  <si>
    <t>1" post</t>
  </si>
  <si>
    <t>https://www.thorlabs.com/item/TR1</t>
  </si>
  <si>
    <t>TR1</t>
  </si>
  <si>
    <t>https://www.mcmaster.com/90480A009/</t>
  </si>
  <si>
    <t>https://www.teledynevisionsolutions.com/products/firefly-s/?model=FFY-U3-04S2M-S</t>
  </si>
  <si>
    <t>J011595</t>
  </si>
  <si>
    <t>Spacer posts</t>
  </si>
  <si>
    <t>3D printed</t>
  </si>
  <si>
    <t>Heat ring</t>
  </si>
  <si>
    <t>Thermometer</t>
  </si>
  <si>
    <t>56-NTCLE350E4103FLB0-ND</t>
  </si>
  <si>
    <t>https://www.digikey.com/en/products/detail/vishay-beyschlag-draloric-bc-components/NTCLE350E4103FLB0/12612895</t>
  </si>
  <si>
    <t>Heater</t>
  </si>
  <si>
    <t>Control panel</t>
  </si>
  <si>
    <t>Barrel jack to screw terminal</t>
  </si>
  <si>
    <t>LED Supply</t>
  </si>
  <si>
    <t>Buckpuck Luxdrive</t>
  </si>
  <si>
    <t>On-off switch</t>
  </si>
  <si>
    <t xml:space="preserve">BNC (m) to screw terminals </t>
  </si>
  <si>
    <t>optostim light rail holder</t>
  </si>
  <si>
    <t>90 deg rail slider</t>
  </si>
  <si>
    <t>https://www.ledsupply.com/led-heatsinks/dynamic-led-heatsink-housing</t>
  </si>
  <si>
    <t>LED lamp housing</t>
  </si>
  <si>
    <t>LED</t>
  </si>
  <si>
    <t>Optic</t>
  </si>
  <si>
    <t>Dynamic LED Housing All Thread Nipple</t>
  </si>
  <si>
    <t>DLH-XL-NPLE</t>
  </si>
  <si>
    <t>DLH-xUP-EH</t>
  </si>
  <si>
    <t>10193 Carclo 20mm Lens - Plain Tight Spot LED Optic</t>
  </si>
  <si>
    <t>03023-D-E-350</t>
  </si>
  <si>
    <t>Cree XLamp XP-E2 Color High Power LED Star</t>
  </si>
  <si>
    <t>CREEXPE2-RED-1</t>
  </si>
  <si>
    <t>BNC cable</t>
  </si>
  <si>
    <t>Barrel jack power cable (5V, 2W)</t>
  </si>
  <si>
    <t>Optostim light guide</t>
  </si>
  <si>
    <t>Butt Splice Quick Wire Connectors</t>
  </si>
  <si>
    <t>LO-X-H2-2</t>
  </si>
  <si>
    <t>Fly holder arm R</t>
  </si>
  <si>
    <t>Electrical</t>
  </si>
  <si>
    <t>Barrel jack power cable (5V)</t>
  </si>
  <si>
    <t>Micro USB to USB cable for computer connection</t>
  </si>
  <si>
    <t>Micromanipulator adapter plate</t>
  </si>
  <si>
    <t>Laser cut</t>
  </si>
  <si>
    <t>#8-32 nuts</t>
  </si>
  <si>
    <t>91185A293</t>
  </si>
  <si>
    <t>#8-32 thumb screws</t>
  </si>
  <si>
    <t>https://www.mcmaster.com/91185A293-91185A442/</t>
  </si>
  <si>
    <t>90480A009</t>
  </si>
  <si>
    <t>#8-32 cap screw 1/2"</t>
  </si>
  <si>
    <t>91251A194</t>
  </si>
  <si>
    <t>https://www.mcmaster.com/91251A194/</t>
  </si>
  <si>
    <t>8974K24</t>
  </si>
  <si>
    <t>Rail 3/8" dia aluminum rod</t>
  </si>
  <si>
    <t>https://www.mcmaster.com/8974K24-8974K241/</t>
  </si>
  <si>
    <t>#8-32 set screw 3/4"</t>
  </si>
  <si>
    <t>92311A197</t>
  </si>
  <si>
    <t>https://www.mcmaster.com/92311A197/</t>
  </si>
  <si>
    <t>Illumination panel</t>
  </si>
  <si>
    <t>https://reiserlab.github.io/Modular-LED-Display/G6/</t>
  </si>
  <si>
    <t>Unique ID</t>
  </si>
  <si>
    <t>Barrel jack (M) to screw terminals</t>
  </si>
  <si>
    <t>G6 Fly on Ball Walking Setup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</si>
</sst>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b/>
      <sz val="12"/>
      <color theme="4" tint="-0.249977111117893"/>
      <name val="Aptos Narrow"/>
      <family val="2"/>
      <scheme val="minor"/>
    </font>
    <font>
      <sz val="12"/>
      <color theme="4" tint="-0.24997711111789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44" fontId="0" fillId="0" borderId="0" xfId="1" applyFont="1"/>
    <xf numFmtId="0" fontId="2" fillId="0" borderId="0" xfId="0" applyFont="1" applyAlignment="1">
      <alignment horizontal="right"/>
    </xf>
    <xf numFmtId="44" fontId="0" fillId="0" borderId="0" xfId="0" applyNumberFormat="1"/>
    <xf numFmtId="0" fontId="3" fillId="0" borderId="0" xfId="2"/>
    <xf numFmtId="0" fontId="4" fillId="0" borderId="1" xfId="0" applyFont="1" applyBorder="1"/>
    <xf numFmtId="0" fontId="5" fillId="2" borderId="0" xfId="0" applyFont="1" applyFill="1"/>
    <xf numFmtId="0" fontId="5" fillId="0" borderId="0" xfId="0" applyFont="1"/>
    <xf numFmtId="0" fontId="5" fillId="2" borderId="2" xfId="0" applyFont="1" applyFill="1" applyBorder="1"/>
    <xf numFmtId="0" fontId="0" fillId="0" borderId="0" xfId="0" applyAlignment="1">
      <alignment horizontal="left"/>
    </xf>
    <xf numFmtId="0" fontId="3" fillId="0" borderId="0" xfId="2" applyFill="1"/>
  </cellXfs>
  <cellStyles count="3">
    <cellStyle name="Currency" xfId="1" builtinId="4"/>
    <cellStyle name="Hyperlink" xfId="2" builtinId="8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1F9794-3422-E94F-8BF0-DD73732413E3}" name="Table1" displayName="Table1" ref="B10:K57" totalsRowShown="0">
  <autoFilter ref="B10:K57" xr:uid="{031F9794-3422-E94F-8BF0-DD73732413E3}"/>
  <tableColumns count="10">
    <tableColumn id="1" xr3:uid="{B56D842A-6524-6042-A636-27D25523BBC2}" name="Category"/>
    <tableColumn id="9" xr3:uid="{A5067F63-B27C-2445-8796-A1DED8D638AE}" name="Subassembly"/>
    <tableColumn id="2" xr3:uid="{9DD3C2A2-C34C-7B4C-86FE-FB0DCD196ADD}" name="Part No." dataDxfId="2"/>
    <tableColumn id="7" xr3:uid="{7DA51295-7121-D94A-8431-445E594AFC08}" name="Part Name"/>
    <tableColumn id="3" xr3:uid="{F134BF34-512E-8641-9585-99339119CC82}" name="Supplier"/>
    <tableColumn id="4" xr3:uid="{605B3DEE-242F-4E44-A370-2658F0B921A5}" name="Qty"/>
    <tableColumn id="8" xr3:uid="{FA37817B-123A-6A46-AC4B-2C15D8E84883}" name="Units"/>
    <tableColumn id="5" xr3:uid="{27BC1AA3-7A39-0F48-B5EB-C8C877F8F656}" name="Unit Cost" dataDxfId="1" dataCellStyle="Currency"/>
    <tableColumn id="6" xr3:uid="{24B69E50-898A-7A4D-9161-94EDA1BF9959}" name="Cost" dataDxfId="0" dataCellStyle="Currency">
      <calculatedColumnFormula>Table1[[#This Row],[Qty]]*Table1[[#This Row],[Unit Cost]]</calculatedColumnFormula>
    </tableColumn>
    <tableColumn id="10" xr3:uid="{4704FBC5-16A6-2E46-8B58-60DFB166C669}" name="Link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horlabs.com/item/TR1" TargetMode="External"/><Relationship Id="rId13" Type="http://schemas.openxmlformats.org/officeDocument/2006/relationships/hyperlink" Target="https://www.mcmaster.com/8974K24-8974K241/" TargetMode="External"/><Relationship Id="rId3" Type="http://schemas.openxmlformats.org/officeDocument/2006/relationships/hyperlink" Target="https://www.mcmaster.com/91290A011/" TargetMode="External"/><Relationship Id="rId7" Type="http://schemas.openxmlformats.org/officeDocument/2006/relationships/hyperlink" Target="https://www.thorlabs.com/item/MB12" TargetMode="External"/><Relationship Id="rId12" Type="http://schemas.openxmlformats.org/officeDocument/2006/relationships/hyperlink" Target="https://www.mcmaster.com/91185A293-91185A442/" TargetMode="External"/><Relationship Id="rId2" Type="http://schemas.openxmlformats.org/officeDocument/2006/relationships/hyperlink" Target="https://www.teledynevisionsolutions.com/products/firefly-s/?model=FFY-U3-04S2M-S" TargetMode="External"/><Relationship Id="rId1" Type="http://schemas.openxmlformats.org/officeDocument/2006/relationships/hyperlink" Target="https://www.mcmaster.com/91290A125/" TargetMode="External"/><Relationship Id="rId6" Type="http://schemas.openxmlformats.org/officeDocument/2006/relationships/hyperlink" Target="https://www.mcmaster.com/91166A180/" TargetMode="External"/><Relationship Id="rId11" Type="http://schemas.openxmlformats.org/officeDocument/2006/relationships/hyperlink" Target="https://www.mcmaster.com/91251A194/" TargetMode="External"/><Relationship Id="rId5" Type="http://schemas.openxmlformats.org/officeDocument/2006/relationships/hyperlink" Target="https://www.mcmaster.com/91251A540/" TargetMode="External"/><Relationship Id="rId15" Type="http://schemas.openxmlformats.org/officeDocument/2006/relationships/table" Target="../tables/table1.xml"/><Relationship Id="rId10" Type="http://schemas.openxmlformats.org/officeDocument/2006/relationships/hyperlink" Target="https://www.mcmaster.com/90480A009/" TargetMode="External"/><Relationship Id="rId4" Type="http://schemas.openxmlformats.org/officeDocument/2006/relationships/hyperlink" Target="https://www.mcmaster.com/90591A250/" TargetMode="External"/><Relationship Id="rId9" Type="http://schemas.openxmlformats.org/officeDocument/2006/relationships/hyperlink" Target="https://www.mcmaster.com/90480A009/" TargetMode="External"/><Relationship Id="rId14" Type="http://schemas.openxmlformats.org/officeDocument/2006/relationships/hyperlink" Target="https://reiserlab.github.io/Modular-LED-Display/G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CC03A-E2D2-064D-930B-8D8B4BDB230C}">
  <dimension ref="A1:K57"/>
  <sheetViews>
    <sheetView tabSelected="1" topLeftCell="A8" zoomScaleNormal="100" workbookViewId="0">
      <selection activeCell="C2" sqref="C2"/>
    </sheetView>
  </sheetViews>
  <sheetFormatPr baseColWidth="10" defaultRowHeight="16" x14ac:dyDescent="0.2"/>
  <cols>
    <col min="2" max="2" width="22" customWidth="1"/>
    <col min="3" max="3" width="16.83203125" customWidth="1"/>
    <col min="4" max="4" width="17.33203125" style="9" customWidth="1"/>
    <col min="5" max="5" width="36.33203125" customWidth="1"/>
    <col min="6" max="6" width="14.33203125" bestFit="1" customWidth="1"/>
    <col min="8" max="8" width="15.5" style="1" customWidth="1"/>
    <col min="9" max="9" width="12.6640625" style="1" bestFit="1" customWidth="1"/>
    <col min="11" max="11" width="45.5" customWidth="1"/>
  </cols>
  <sheetData>
    <row r="1" spans="1:11" x14ac:dyDescent="0.2">
      <c r="B1" s="2" t="s">
        <v>8</v>
      </c>
      <c r="C1" t="s">
        <v>119</v>
      </c>
    </row>
    <row r="2" spans="1:11" x14ac:dyDescent="0.2">
      <c r="B2" s="2" t="s">
        <v>9</v>
      </c>
    </row>
    <row r="3" spans="1:11" x14ac:dyDescent="0.2">
      <c r="B3" s="2" t="s">
        <v>10</v>
      </c>
      <c r="C3">
        <v>1</v>
      </c>
    </row>
    <row r="4" spans="1:11" x14ac:dyDescent="0.2">
      <c r="B4" s="2" t="s">
        <v>14</v>
      </c>
      <c r="C4" t="s">
        <v>15</v>
      </c>
    </row>
    <row r="5" spans="1:11" x14ac:dyDescent="0.2">
      <c r="B5" s="2" t="s">
        <v>11</v>
      </c>
    </row>
    <row r="6" spans="1:11" x14ac:dyDescent="0.2">
      <c r="B6" s="2" t="s">
        <v>12</v>
      </c>
      <c r="C6">
        <f>SUM(Table1[Qty])</f>
        <v>82</v>
      </c>
    </row>
    <row r="7" spans="1:11" x14ac:dyDescent="0.2">
      <c r="B7" s="2" t="s">
        <v>13</v>
      </c>
      <c r="C7" s="3">
        <f>SUM(Table1[Cost])</f>
        <v>566.6357999999999</v>
      </c>
    </row>
    <row r="10" spans="1:11" x14ac:dyDescent="0.2">
      <c r="A10" s="5" t="s">
        <v>117</v>
      </c>
      <c r="B10" t="s">
        <v>3</v>
      </c>
      <c r="C10" t="s">
        <v>18</v>
      </c>
      <c r="D10" s="9" t="s">
        <v>0</v>
      </c>
      <c r="E10" t="s">
        <v>4</v>
      </c>
      <c r="F10" t="s">
        <v>7</v>
      </c>
      <c r="G10" t="s">
        <v>1</v>
      </c>
      <c r="H10" t="s">
        <v>5</v>
      </c>
      <c r="I10" s="1" t="s">
        <v>6</v>
      </c>
      <c r="J10" s="1" t="s">
        <v>2</v>
      </c>
      <c r="K10" t="s">
        <v>22</v>
      </c>
    </row>
    <row r="11" spans="1:11" x14ac:dyDescent="0.2">
      <c r="A11" s="6">
        <v>1</v>
      </c>
      <c r="D11" s="9" t="s">
        <v>52</v>
      </c>
      <c r="E11" t="s">
        <v>16</v>
      </c>
      <c r="F11" t="s">
        <v>17</v>
      </c>
      <c r="G11">
        <v>1</v>
      </c>
      <c r="H11" t="s">
        <v>21</v>
      </c>
      <c r="I11" s="1">
        <v>184.47</v>
      </c>
      <c r="J11" s="1">
        <f>Table1[[#This Row],[Qty]]*Table1[[#This Row],[Unit Cost]]</f>
        <v>184.47</v>
      </c>
      <c r="K11" s="4" t="s">
        <v>51</v>
      </c>
    </row>
    <row r="12" spans="1:11" x14ac:dyDescent="0.2">
      <c r="A12" s="7">
        <v>2</v>
      </c>
      <c r="C12" t="s">
        <v>53</v>
      </c>
      <c r="E12" t="s">
        <v>53</v>
      </c>
      <c r="G12">
        <v>1</v>
      </c>
      <c r="H12" t="s">
        <v>21</v>
      </c>
      <c r="J12" s="1">
        <f>Table1[[#This Row],[Qty]]*Table1[[#This Row],[Unit Cost]]</f>
        <v>0</v>
      </c>
      <c r="K12" s="4" t="s">
        <v>116</v>
      </c>
    </row>
    <row r="13" spans="1:11" x14ac:dyDescent="0.2">
      <c r="A13" s="6">
        <v>3</v>
      </c>
      <c r="C13" t="s">
        <v>53</v>
      </c>
      <c r="D13" s="9" t="s">
        <v>60</v>
      </c>
      <c r="E13" t="s">
        <v>58</v>
      </c>
      <c r="F13" t="s">
        <v>17</v>
      </c>
      <c r="G13">
        <v>4</v>
      </c>
      <c r="H13" t="s">
        <v>21</v>
      </c>
      <c r="I13" s="1">
        <v>5.76</v>
      </c>
      <c r="J13" s="1">
        <f>Table1[[#This Row],[Qty]]*Table1[[#This Row],[Unit Cost]]</f>
        <v>23.04</v>
      </c>
      <c r="K13" s="4" t="s">
        <v>59</v>
      </c>
    </row>
    <row r="14" spans="1:11" x14ac:dyDescent="0.2">
      <c r="A14" s="7">
        <v>4</v>
      </c>
      <c r="B14" t="s">
        <v>20</v>
      </c>
      <c r="C14" t="s">
        <v>53</v>
      </c>
      <c r="D14" s="9" t="s">
        <v>113</v>
      </c>
      <c r="E14" t="s">
        <v>112</v>
      </c>
      <c r="F14" t="s">
        <v>33</v>
      </c>
      <c r="G14">
        <v>4</v>
      </c>
      <c r="H14" t="s">
        <v>21</v>
      </c>
      <c r="I14" s="1">
        <f>14.44/100</f>
        <v>0.1444</v>
      </c>
      <c r="J14" s="1">
        <f>Table1[[#This Row],[Qty]]*Table1[[#This Row],[Unit Cost]]</f>
        <v>0.5776</v>
      </c>
      <c r="K14" s="4" t="s">
        <v>114</v>
      </c>
    </row>
    <row r="15" spans="1:11" x14ac:dyDescent="0.2">
      <c r="A15" s="6">
        <v>5</v>
      </c>
      <c r="B15" t="s">
        <v>20</v>
      </c>
      <c r="C15" t="s">
        <v>53</v>
      </c>
      <c r="D15" s="9" t="s">
        <v>105</v>
      </c>
      <c r="E15" t="s">
        <v>101</v>
      </c>
      <c r="F15" t="s">
        <v>33</v>
      </c>
      <c r="G15">
        <v>8</v>
      </c>
      <c r="H15" t="s">
        <v>21</v>
      </c>
      <c r="I15" s="1">
        <f>2.02/100</f>
        <v>2.0199999999999999E-2</v>
      </c>
      <c r="J15" s="1">
        <f>Table1[[#This Row],[Qty]]*Table1[[#This Row],[Unit Cost]]</f>
        <v>0.16159999999999999</v>
      </c>
      <c r="K15" s="4" t="s">
        <v>61</v>
      </c>
    </row>
    <row r="16" spans="1:11" x14ac:dyDescent="0.2">
      <c r="A16" s="7">
        <v>6</v>
      </c>
      <c r="C16" t="s">
        <v>53</v>
      </c>
      <c r="D16" s="9" t="s">
        <v>63</v>
      </c>
      <c r="E16" t="s">
        <v>64</v>
      </c>
      <c r="F16" t="s">
        <v>65</v>
      </c>
      <c r="G16">
        <v>4</v>
      </c>
      <c r="H16" t="s">
        <v>36</v>
      </c>
      <c r="J16" s="1">
        <f>Table1[[#This Row],[Qty]]*Table1[[#This Row],[Unit Cost]]</f>
        <v>0</v>
      </c>
      <c r="K16" s="4"/>
    </row>
    <row r="17" spans="1:11" x14ac:dyDescent="0.2">
      <c r="A17" s="6">
        <v>7</v>
      </c>
      <c r="B17" t="s">
        <v>96</v>
      </c>
      <c r="C17" t="s">
        <v>53</v>
      </c>
      <c r="E17" t="s">
        <v>97</v>
      </c>
      <c r="G17">
        <v>1</v>
      </c>
      <c r="H17" t="s">
        <v>21</v>
      </c>
      <c r="J17" s="1">
        <f>Table1[[#This Row],[Qty]]*Table1[[#This Row],[Unit Cost]]</f>
        <v>0</v>
      </c>
      <c r="K17" s="4"/>
    </row>
    <row r="18" spans="1:11" x14ac:dyDescent="0.2">
      <c r="A18" s="7">
        <v>8</v>
      </c>
      <c r="B18" t="s">
        <v>96</v>
      </c>
      <c r="C18" t="s">
        <v>53</v>
      </c>
      <c r="E18" t="s">
        <v>98</v>
      </c>
      <c r="G18">
        <v>1</v>
      </c>
      <c r="H18" t="s">
        <v>21</v>
      </c>
      <c r="J18" s="1">
        <f>Table1[[#This Row],[Qty]]*Table1[[#This Row],[Unit Cost]]</f>
        <v>0</v>
      </c>
      <c r="K18" s="4"/>
    </row>
    <row r="19" spans="1:11" x14ac:dyDescent="0.2">
      <c r="A19" s="6">
        <v>9</v>
      </c>
      <c r="B19" t="s">
        <v>20</v>
      </c>
      <c r="C19" t="s">
        <v>19</v>
      </c>
      <c r="D19" s="9" t="s">
        <v>102</v>
      </c>
      <c r="E19" t="s">
        <v>103</v>
      </c>
      <c r="F19" t="s">
        <v>33</v>
      </c>
      <c r="G19">
        <v>4</v>
      </c>
      <c r="H19" t="s">
        <v>21</v>
      </c>
      <c r="I19" s="1">
        <f>13.88/25</f>
        <v>0.55520000000000003</v>
      </c>
      <c r="J19" s="1">
        <f>Table1[[#This Row],[Qty]]*Table1[[#This Row],[Unit Cost]]</f>
        <v>2.2208000000000001</v>
      </c>
      <c r="K19" s="4" t="s">
        <v>104</v>
      </c>
    </row>
    <row r="20" spans="1:11" x14ac:dyDescent="0.2">
      <c r="A20" s="7">
        <v>10</v>
      </c>
      <c r="B20" t="s">
        <v>20</v>
      </c>
      <c r="C20" t="s">
        <v>19</v>
      </c>
      <c r="D20" s="9" t="s">
        <v>105</v>
      </c>
      <c r="E20" t="s">
        <v>101</v>
      </c>
      <c r="F20" t="s">
        <v>33</v>
      </c>
      <c r="G20">
        <v>4</v>
      </c>
      <c r="H20" t="s">
        <v>21</v>
      </c>
      <c r="I20" s="1">
        <v>0.02</v>
      </c>
      <c r="J20" s="1">
        <f>Table1[[#This Row],[Qty]]*Table1[[#This Row],[Unit Cost]]</f>
        <v>0.08</v>
      </c>
      <c r="K20" s="10" t="s">
        <v>61</v>
      </c>
    </row>
    <row r="21" spans="1:11" x14ac:dyDescent="0.2">
      <c r="A21" s="6">
        <v>11</v>
      </c>
      <c r="B21" t="s">
        <v>20</v>
      </c>
      <c r="C21" t="s">
        <v>53</v>
      </c>
      <c r="D21" s="9" t="s">
        <v>107</v>
      </c>
      <c r="E21" t="s">
        <v>106</v>
      </c>
      <c r="F21" t="s">
        <v>33</v>
      </c>
      <c r="G21">
        <v>4</v>
      </c>
      <c r="H21" t="s">
        <v>21</v>
      </c>
      <c r="I21" s="1">
        <f>14.83/100</f>
        <v>0.14829999999999999</v>
      </c>
      <c r="J21" s="1">
        <f>Table1[[#This Row],[Qty]]*Table1[[#This Row],[Unit Cost]]</f>
        <v>0.59319999999999995</v>
      </c>
      <c r="K21" s="4" t="s">
        <v>108</v>
      </c>
    </row>
    <row r="22" spans="1:11" x14ac:dyDescent="0.2">
      <c r="A22" s="7">
        <v>12</v>
      </c>
      <c r="C22" t="s">
        <v>19</v>
      </c>
      <c r="D22" s="9" t="s">
        <v>109</v>
      </c>
      <c r="E22" t="s">
        <v>110</v>
      </c>
      <c r="F22" t="s">
        <v>33</v>
      </c>
      <c r="G22">
        <v>1</v>
      </c>
      <c r="H22" t="s">
        <v>21</v>
      </c>
      <c r="I22" s="1">
        <v>2.89</v>
      </c>
      <c r="J22" s="1">
        <f>Table1[[#This Row],[Qty]]*Table1[[#This Row],[Unit Cost]]</f>
        <v>2.89</v>
      </c>
      <c r="K22" s="4" t="s">
        <v>111</v>
      </c>
    </row>
    <row r="23" spans="1:11" x14ac:dyDescent="0.2">
      <c r="A23" s="6">
        <v>13</v>
      </c>
      <c r="C23" t="s">
        <v>19</v>
      </c>
      <c r="E23" t="s">
        <v>77</v>
      </c>
      <c r="F23" t="s">
        <v>65</v>
      </c>
      <c r="G23">
        <v>2</v>
      </c>
      <c r="H23" t="s">
        <v>21</v>
      </c>
      <c r="J23" s="1">
        <f>Table1[[#This Row],[Qty]]*Table1[[#This Row],[Unit Cost]]</f>
        <v>0</v>
      </c>
      <c r="K23" s="4"/>
    </row>
    <row r="24" spans="1:11" x14ac:dyDescent="0.2">
      <c r="A24" s="7">
        <v>14</v>
      </c>
      <c r="C24" t="s">
        <v>19</v>
      </c>
      <c r="E24" t="s">
        <v>78</v>
      </c>
      <c r="F24" t="s">
        <v>65</v>
      </c>
      <c r="G24">
        <v>1</v>
      </c>
      <c r="H24" t="s">
        <v>21</v>
      </c>
      <c r="J24" s="1">
        <f>Table1[[#This Row],[Qty]]*Table1[[#This Row],[Unit Cost]]</f>
        <v>0</v>
      </c>
      <c r="K24" s="4"/>
    </row>
    <row r="25" spans="1:11" x14ac:dyDescent="0.2">
      <c r="A25" s="6">
        <v>15</v>
      </c>
      <c r="C25" t="s">
        <v>19</v>
      </c>
      <c r="E25" t="s">
        <v>92</v>
      </c>
      <c r="F25" t="s">
        <v>65</v>
      </c>
      <c r="G25">
        <v>1</v>
      </c>
      <c r="H25" t="s">
        <v>21</v>
      </c>
      <c r="J25" s="1">
        <f>Table1[[#This Row],[Qty]]*Table1[[#This Row],[Unit Cost]]</f>
        <v>0</v>
      </c>
      <c r="K25" s="4"/>
    </row>
    <row r="26" spans="1:11" x14ac:dyDescent="0.2">
      <c r="A26" s="7">
        <v>16</v>
      </c>
      <c r="B26" t="s">
        <v>96</v>
      </c>
      <c r="C26" t="s">
        <v>19</v>
      </c>
      <c r="E26" t="s">
        <v>118</v>
      </c>
      <c r="G26">
        <v>1</v>
      </c>
      <c r="H26"/>
      <c r="J26" s="1"/>
      <c r="K26" s="4"/>
    </row>
    <row r="27" spans="1:11" x14ac:dyDescent="0.2">
      <c r="A27" s="6">
        <v>17</v>
      </c>
      <c r="B27" t="s">
        <v>96</v>
      </c>
      <c r="C27" t="s">
        <v>19</v>
      </c>
      <c r="E27" t="s">
        <v>76</v>
      </c>
      <c r="G27">
        <v>1</v>
      </c>
      <c r="H27"/>
      <c r="J27" s="1"/>
      <c r="K27" s="4"/>
    </row>
    <row r="28" spans="1:11" x14ac:dyDescent="0.2">
      <c r="A28" s="7">
        <v>18</v>
      </c>
      <c r="B28" t="s">
        <v>96</v>
      </c>
      <c r="C28" t="s">
        <v>19</v>
      </c>
      <c r="E28" t="s">
        <v>75</v>
      </c>
      <c r="G28">
        <v>1</v>
      </c>
      <c r="H28" t="s">
        <v>21</v>
      </c>
      <c r="J28" s="1"/>
      <c r="K28" s="4"/>
    </row>
    <row r="29" spans="1:11" x14ac:dyDescent="0.2">
      <c r="A29" s="6">
        <v>19</v>
      </c>
      <c r="C29" t="s">
        <v>19</v>
      </c>
      <c r="D29" s="9" t="s">
        <v>85</v>
      </c>
      <c r="E29" t="s">
        <v>80</v>
      </c>
      <c r="F29" t="s">
        <v>73</v>
      </c>
      <c r="G29">
        <v>1</v>
      </c>
      <c r="H29" t="s">
        <v>21</v>
      </c>
      <c r="I29" s="1">
        <v>11.34</v>
      </c>
      <c r="J29" s="1">
        <f>Table1[[#This Row],[Qty]]*Table1[[#This Row],[Unit Cost]]</f>
        <v>11.34</v>
      </c>
      <c r="K29" t="s">
        <v>79</v>
      </c>
    </row>
    <row r="30" spans="1:11" x14ac:dyDescent="0.2">
      <c r="A30" s="7">
        <v>20</v>
      </c>
      <c r="B30" t="s">
        <v>81</v>
      </c>
      <c r="C30" t="s">
        <v>19</v>
      </c>
      <c r="D30" s="9" t="s">
        <v>89</v>
      </c>
      <c r="E30" t="s">
        <v>88</v>
      </c>
      <c r="F30" t="s">
        <v>73</v>
      </c>
      <c r="G30">
        <v>1</v>
      </c>
      <c r="H30" t="s">
        <v>21</v>
      </c>
      <c r="I30" s="1">
        <v>5.14</v>
      </c>
      <c r="J30" s="1">
        <f>Table1[[#This Row],[Qty]]*Table1[[#This Row],[Unit Cost]]</f>
        <v>5.14</v>
      </c>
    </row>
    <row r="31" spans="1:11" x14ac:dyDescent="0.2">
      <c r="A31" s="6">
        <v>21</v>
      </c>
      <c r="B31" t="s">
        <v>82</v>
      </c>
      <c r="C31" t="s">
        <v>19</v>
      </c>
      <c r="D31" s="9">
        <v>10193</v>
      </c>
      <c r="E31" t="s">
        <v>86</v>
      </c>
      <c r="F31" t="s">
        <v>73</v>
      </c>
      <c r="G31">
        <v>1</v>
      </c>
      <c r="H31" t="s">
        <v>21</v>
      </c>
      <c r="I31" s="1">
        <v>1.71</v>
      </c>
      <c r="J31" s="1">
        <f>Table1[[#This Row],[Qty]]*Table1[[#This Row],[Unit Cost]]</f>
        <v>1.71</v>
      </c>
    </row>
    <row r="32" spans="1:11" x14ac:dyDescent="0.2">
      <c r="A32" s="7">
        <v>22</v>
      </c>
      <c r="B32" t="s">
        <v>20</v>
      </c>
      <c r="C32" t="s">
        <v>19</v>
      </c>
      <c r="D32" s="9" t="s">
        <v>84</v>
      </c>
      <c r="E32" t="s">
        <v>83</v>
      </c>
      <c r="F32" t="s">
        <v>73</v>
      </c>
      <c r="G32">
        <v>1</v>
      </c>
      <c r="H32" t="s">
        <v>21</v>
      </c>
      <c r="I32" s="1">
        <v>1.92</v>
      </c>
      <c r="J32" s="1">
        <f>Table1[[#This Row],[Qty]]*Table1[[#This Row],[Unit Cost]]</f>
        <v>1.92</v>
      </c>
    </row>
    <row r="33" spans="1:11" x14ac:dyDescent="0.2">
      <c r="A33" s="6">
        <v>23</v>
      </c>
      <c r="B33" t="s">
        <v>96</v>
      </c>
      <c r="C33" t="s">
        <v>19</v>
      </c>
      <c r="D33" s="9" t="s">
        <v>87</v>
      </c>
      <c r="E33" t="s">
        <v>74</v>
      </c>
      <c r="F33" t="s">
        <v>73</v>
      </c>
      <c r="G33">
        <v>1</v>
      </c>
      <c r="H33" t="s">
        <v>21</v>
      </c>
      <c r="I33" s="1">
        <v>17.239999999999998</v>
      </c>
      <c r="J33" s="1">
        <f>Table1[[#This Row],[Qty]]*Table1[[#This Row],[Unit Cost]]</f>
        <v>17.239999999999998</v>
      </c>
    </row>
    <row r="34" spans="1:11" x14ac:dyDescent="0.2">
      <c r="A34" s="7">
        <v>24</v>
      </c>
      <c r="B34" t="s">
        <v>96</v>
      </c>
      <c r="C34" t="s">
        <v>19</v>
      </c>
      <c r="D34" s="9" t="s">
        <v>94</v>
      </c>
      <c r="E34" t="s">
        <v>93</v>
      </c>
      <c r="F34" t="s">
        <v>73</v>
      </c>
      <c r="G34">
        <v>1</v>
      </c>
      <c r="H34" t="s">
        <v>21</v>
      </c>
      <c r="I34" s="1">
        <v>2.56</v>
      </c>
      <c r="J34" s="1">
        <f>Table1[[#This Row],[Qty]]*Table1[[#This Row],[Unit Cost]]</f>
        <v>2.56</v>
      </c>
    </row>
    <row r="35" spans="1:11" x14ac:dyDescent="0.2">
      <c r="A35" s="6">
        <v>25</v>
      </c>
      <c r="B35" t="s">
        <v>96</v>
      </c>
      <c r="C35" t="s">
        <v>19</v>
      </c>
      <c r="E35" t="s">
        <v>72</v>
      </c>
      <c r="G35">
        <v>1</v>
      </c>
      <c r="H35" t="s">
        <v>21</v>
      </c>
      <c r="J35" s="1">
        <f>Table1[[#This Row],[Qty]]*Table1[[#This Row],[Unit Cost]]</f>
        <v>0</v>
      </c>
    </row>
    <row r="36" spans="1:11" x14ac:dyDescent="0.2">
      <c r="A36" s="7">
        <v>26</v>
      </c>
      <c r="B36" t="s">
        <v>96</v>
      </c>
      <c r="C36" t="s">
        <v>19</v>
      </c>
      <c r="E36" t="s">
        <v>91</v>
      </c>
      <c r="G36">
        <v>1</v>
      </c>
      <c r="H36" t="s">
        <v>21</v>
      </c>
      <c r="J36" s="1">
        <f>Table1[[#This Row],[Qty]]*Table1[[#This Row],[Unit Cost]]</f>
        <v>0</v>
      </c>
    </row>
    <row r="37" spans="1:11" x14ac:dyDescent="0.2">
      <c r="A37" s="6">
        <v>27</v>
      </c>
      <c r="B37" t="s">
        <v>96</v>
      </c>
      <c r="C37" t="s">
        <v>19</v>
      </c>
      <c r="E37" t="s">
        <v>90</v>
      </c>
      <c r="G37">
        <v>1</v>
      </c>
      <c r="H37" t="s">
        <v>21</v>
      </c>
      <c r="J37" s="1">
        <f>Table1[[#This Row],[Qty]]*Table1[[#This Row],[Unit Cost]]</f>
        <v>0</v>
      </c>
    </row>
    <row r="38" spans="1:11" x14ac:dyDescent="0.2">
      <c r="A38" s="7">
        <v>28</v>
      </c>
      <c r="H38"/>
      <c r="J38" s="1"/>
      <c r="K38" s="4"/>
    </row>
    <row r="39" spans="1:11" x14ac:dyDescent="0.2">
      <c r="A39" s="6">
        <v>29</v>
      </c>
      <c r="C39" t="s">
        <v>23</v>
      </c>
      <c r="E39" t="s">
        <v>24</v>
      </c>
      <c r="G39">
        <v>1</v>
      </c>
      <c r="H39" t="s">
        <v>21</v>
      </c>
      <c r="I39" s="1">
        <v>80</v>
      </c>
      <c r="J39" s="1">
        <f>Table1[[#This Row],[Qty]]*Table1[[#This Row],[Unit Cost]]</f>
        <v>80</v>
      </c>
    </row>
    <row r="40" spans="1:11" x14ac:dyDescent="0.2">
      <c r="A40" s="7">
        <v>30</v>
      </c>
      <c r="C40" t="s">
        <v>23</v>
      </c>
      <c r="E40" t="s">
        <v>99</v>
      </c>
      <c r="F40" t="s">
        <v>100</v>
      </c>
      <c r="G40">
        <v>1</v>
      </c>
      <c r="H40" t="s">
        <v>21</v>
      </c>
      <c r="J40" s="1">
        <f>Table1[[#This Row],[Qty]]*Table1[[#This Row],[Unit Cost]]</f>
        <v>0</v>
      </c>
    </row>
    <row r="41" spans="1:11" x14ac:dyDescent="0.2">
      <c r="A41" s="6">
        <v>31</v>
      </c>
      <c r="B41" t="s">
        <v>26</v>
      </c>
      <c r="C41" t="s">
        <v>23</v>
      </c>
      <c r="E41" t="s">
        <v>25</v>
      </c>
      <c r="G41">
        <v>1</v>
      </c>
      <c r="H41" t="s">
        <v>36</v>
      </c>
      <c r="J41" s="1">
        <f>Table1[[#This Row],[Qty]]*Table1[[#This Row],[Unit Cost]]</f>
        <v>0</v>
      </c>
    </row>
    <row r="42" spans="1:11" x14ac:dyDescent="0.2">
      <c r="A42" s="7">
        <v>32</v>
      </c>
      <c r="B42" t="s">
        <v>26</v>
      </c>
      <c r="C42" t="s">
        <v>23</v>
      </c>
      <c r="E42" t="s">
        <v>95</v>
      </c>
      <c r="G42">
        <v>1</v>
      </c>
      <c r="H42" t="s">
        <v>36</v>
      </c>
      <c r="J42" s="1">
        <f>Table1[[#This Row],[Qty]]*Table1[[#This Row],[Unit Cost]]</f>
        <v>0</v>
      </c>
    </row>
    <row r="43" spans="1:11" x14ac:dyDescent="0.2">
      <c r="A43" s="6">
        <v>33</v>
      </c>
      <c r="C43" t="s">
        <v>23</v>
      </c>
      <c r="E43" t="s">
        <v>48</v>
      </c>
      <c r="G43">
        <v>1</v>
      </c>
      <c r="H43" t="s">
        <v>21</v>
      </c>
      <c r="J43" s="1">
        <f>Table1[[#This Row],[Qty]]*Table1[[#This Row],[Unit Cost]]</f>
        <v>0</v>
      </c>
    </row>
    <row r="44" spans="1:11" x14ac:dyDescent="0.2">
      <c r="A44" s="7">
        <v>34</v>
      </c>
      <c r="B44" t="s">
        <v>20</v>
      </c>
      <c r="C44" t="s">
        <v>23</v>
      </c>
      <c r="D44" s="9" t="s">
        <v>45</v>
      </c>
      <c r="E44" t="s">
        <v>40</v>
      </c>
      <c r="F44" t="s">
        <v>33</v>
      </c>
      <c r="G44">
        <v>5</v>
      </c>
      <c r="H44" t="s">
        <v>21</v>
      </c>
      <c r="I44" s="1">
        <f>17.78/100</f>
        <v>0.17780000000000001</v>
      </c>
      <c r="J44" s="1">
        <f>Table1[[#This Row],[Qty]]*Table1[[#This Row],[Unit Cost]]</f>
        <v>0.88900000000000001</v>
      </c>
      <c r="K44" s="4" t="s">
        <v>39</v>
      </c>
    </row>
    <row r="45" spans="1:11" x14ac:dyDescent="0.2">
      <c r="A45" s="6">
        <v>35</v>
      </c>
      <c r="B45" t="s">
        <v>20</v>
      </c>
      <c r="C45" t="s">
        <v>23</v>
      </c>
      <c r="D45" s="9" t="s">
        <v>47</v>
      </c>
      <c r="E45" t="s">
        <v>41</v>
      </c>
      <c r="F45" t="s">
        <v>33</v>
      </c>
      <c r="G45">
        <v>1</v>
      </c>
      <c r="H45" t="s">
        <v>21</v>
      </c>
      <c r="I45" s="1">
        <f>3.06/100</f>
        <v>3.0600000000000002E-2</v>
      </c>
      <c r="J45" s="1">
        <f>Table1[[#This Row],[Qty]]*Table1[[#This Row],[Unit Cost]]</f>
        <v>3.0600000000000002E-2</v>
      </c>
      <c r="K45" s="4" t="s">
        <v>46</v>
      </c>
    </row>
    <row r="46" spans="1:11" x14ac:dyDescent="0.2">
      <c r="A46" s="7">
        <v>36</v>
      </c>
      <c r="B46" t="s">
        <v>27</v>
      </c>
      <c r="C46" t="s">
        <v>27</v>
      </c>
      <c r="D46" s="9" t="s">
        <v>30</v>
      </c>
      <c r="E46" t="s">
        <v>31</v>
      </c>
      <c r="F46" t="s">
        <v>29</v>
      </c>
      <c r="G46">
        <v>1</v>
      </c>
      <c r="H46" s="1" t="s">
        <v>21</v>
      </c>
      <c r="I46" s="1">
        <v>229</v>
      </c>
      <c r="J46" s="1">
        <f>Table1[[#This Row],[Qty]]*Table1[[#This Row],[Unit Cost]]</f>
        <v>229</v>
      </c>
      <c r="K46" s="4" t="s">
        <v>62</v>
      </c>
    </row>
    <row r="47" spans="1:11" x14ac:dyDescent="0.2">
      <c r="A47" s="6">
        <v>37</v>
      </c>
      <c r="C47" t="s">
        <v>27</v>
      </c>
      <c r="E47" t="s">
        <v>57</v>
      </c>
      <c r="J47" s="1">
        <f>Table1[[#This Row],[Qty]]*Table1[[#This Row],[Unit Cost]]</f>
        <v>0</v>
      </c>
      <c r="K47" s="4"/>
    </row>
    <row r="48" spans="1:11" x14ac:dyDescent="0.2">
      <c r="A48" s="7">
        <v>38</v>
      </c>
      <c r="B48" t="s">
        <v>20</v>
      </c>
      <c r="C48" t="s">
        <v>27</v>
      </c>
      <c r="D48" s="9" t="s">
        <v>44</v>
      </c>
      <c r="E48" t="s">
        <v>35</v>
      </c>
      <c r="F48" t="s">
        <v>33</v>
      </c>
      <c r="G48">
        <v>6</v>
      </c>
      <c r="H48" s="1" t="s">
        <v>21</v>
      </c>
      <c r="I48" s="1">
        <f>17.63/100</f>
        <v>0.17629999999999998</v>
      </c>
      <c r="J48" s="1">
        <f>Table1[[#This Row],[Qty]]*Table1[[#This Row],[Unit Cost]]</f>
        <v>1.0577999999999999</v>
      </c>
      <c r="K48" s="4" t="s">
        <v>42</v>
      </c>
    </row>
    <row r="49" spans="1:11" x14ac:dyDescent="0.2">
      <c r="A49" s="6">
        <v>39</v>
      </c>
      <c r="B49" t="s">
        <v>20</v>
      </c>
      <c r="C49" t="s">
        <v>27</v>
      </c>
      <c r="D49" s="9" t="s">
        <v>50</v>
      </c>
      <c r="E49" t="s">
        <v>43</v>
      </c>
      <c r="F49" t="s">
        <v>33</v>
      </c>
      <c r="G49">
        <v>6</v>
      </c>
      <c r="H49" s="1" t="s">
        <v>21</v>
      </c>
      <c r="I49" s="1">
        <f>3/100</f>
        <v>0.03</v>
      </c>
      <c r="J49" s="1">
        <f>Table1[[#This Row],[Qty]]*Table1[[#This Row],[Unit Cost]]</f>
        <v>0.18</v>
      </c>
      <c r="K49" s="4" t="s">
        <v>49</v>
      </c>
    </row>
    <row r="50" spans="1:11" x14ac:dyDescent="0.2">
      <c r="A50" s="7">
        <v>40</v>
      </c>
      <c r="B50" t="s">
        <v>26</v>
      </c>
      <c r="C50" t="s">
        <v>28</v>
      </c>
      <c r="E50" t="s">
        <v>34</v>
      </c>
      <c r="H50" s="1" t="s">
        <v>36</v>
      </c>
      <c r="J50" s="1">
        <f>Table1[[#This Row],[Qty]]*Table1[[#This Row],[Unit Cost]]</f>
        <v>0</v>
      </c>
    </row>
    <row r="51" spans="1:11" x14ac:dyDescent="0.2">
      <c r="A51" s="6">
        <v>41</v>
      </c>
      <c r="B51" t="s">
        <v>20</v>
      </c>
      <c r="C51" t="s">
        <v>28</v>
      </c>
      <c r="E51" t="s">
        <v>32</v>
      </c>
      <c r="F51" t="s">
        <v>33</v>
      </c>
      <c r="G51">
        <v>2</v>
      </c>
      <c r="I51" s="1">
        <f>11.38/50</f>
        <v>0.22760000000000002</v>
      </c>
      <c r="J51" s="1">
        <f>Table1[[#This Row],[Qty]]*Table1[[#This Row],[Unit Cost]]</f>
        <v>0.45520000000000005</v>
      </c>
      <c r="K51" s="4" t="s">
        <v>38</v>
      </c>
    </row>
    <row r="52" spans="1:11" x14ac:dyDescent="0.2">
      <c r="A52" s="7">
        <v>42</v>
      </c>
      <c r="E52" t="s">
        <v>54</v>
      </c>
      <c r="F52" t="s">
        <v>55</v>
      </c>
      <c r="G52">
        <v>1</v>
      </c>
      <c r="H52" s="1" t="s">
        <v>21</v>
      </c>
      <c r="J52" s="1">
        <f>Table1[[#This Row],[Qty]]*Table1[[#This Row],[Unit Cost]]</f>
        <v>0</v>
      </c>
      <c r="K52" s="4" t="s">
        <v>56</v>
      </c>
    </row>
    <row r="53" spans="1:11" x14ac:dyDescent="0.2">
      <c r="A53" s="6">
        <v>43</v>
      </c>
      <c r="C53" t="s">
        <v>28</v>
      </c>
      <c r="E53" t="s">
        <v>115</v>
      </c>
      <c r="G53">
        <v>1</v>
      </c>
      <c r="H53" s="1" t="s">
        <v>21</v>
      </c>
      <c r="J53" s="1">
        <f>Table1[[#This Row],[Qty]]*Table1[[#This Row],[Unit Cost]]</f>
        <v>0</v>
      </c>
    </row>
    <row r="54" spans="1:11" x14ac:dyDescent="0.2">
      <c r="A54" s="7">
        <v>44</v>
      </c>
      <c r="C54" t="s">
        <v>70</v>
      </c>
      <c r="E54" t="s">
        <v>66</v>
      </c>
      <c r="J54" s="1">
        <f>Table1[[#This Row],[Qty]]*Table1[[#This Row],[Unit Cost]]</f>
        <v>0</v>
      </c>
    </row>
    <row r="55" spans="1:11" x14ac:dyDescent="0.2">
      <c r="A55" s="6">
        <v>45</v>
      </c>
      <c r="C55" t="s">
        <v>70</v>
      </c>
      <c r="D55" s="9" t="s">
        <v>68</v>
      </c>
      <c r="E55" t="s">
        <v>67</v>
      </c>
      <c r="F55" t="s">
        <v>37</v>
      </c>
      <c r="G55">
        <v>1</v>
      </c>
      <c r="H55" s="1" t="s">
        <v>21</v>
      </c>
      <c r="I55" s="1">
        <v>1.08</v>
      </c>
      <c r="J55" s="1">
        <f>Table1[[#This Row],[Qty]]*Table1[[#This Row],[Unit Cost]]</f>
        <v>1.08</v>
      </c>
      <c r="K55" t="s">
        <v>69</v>
      </c>
    </row>
    <row r="56" spans="1:11" x14ac:dyDescent="0.2">
      <c r="A56" s="7">
        <v>46</v>
      </c>
      <c r="C56" t="s">
        <v>70</v>
      </c>
      <c r="E56" t="s">
        <v>71</v>
      </c>
      <c r="J56" s="1">
        <f>Table1[[#This Row],[Qty]]*Table1[[#This Row],[Unit Cost]]</f>
        <v>0</v>
      </c>
    </row>
    <row r="57" spans="1:11" x14ac:dyDescent="0.2">
      <c r="A57" s="8">
        <v>47</v>
      </c>
      <c r="C57" t="s">
        <v>70</v>
      </c>
      <c r="E57" t="s">
        <v>72</v>
      </c>
      <c r="J57" s="1">
        <f>Table1[[#This Row],[Qty]]*Table1[[#This Row],[Unit Cost]]</f>
        <v>0</v>
      </c>
    </row>
  </sheetData>
  <hyperlinks>
    <hyperlink ref="K44" r:id="rId1" xr:uid="{7232EB30-30F6-A44D-A099-36A36F85D531}"/>
    <hyperlink ref="K46" r:id="rId2" xr:uid="{27DD5690-F388-A048-A20A-B068A8B5D504}"/>
    <hyperlink ref="K48" r:id="rId3" xr:uid="{331E0A82-5FA5-414B-9807-F2B18A4F0C7D}"/>
    <hyperlink ref="K45" r:id="rId4" xr:uid="{14163A79-9220-954E-B070-3F59DBA5CAD5}"/>
    <hyperlink ref="K51" r:id="rId5" xr:uid="{0BD55709-6453-5C45-B817-BE190D9BC47D}"/>
    <hyperlink ref="K49" r:id="rId6" xr:uid="{39651285-9062-AE46-8CEE-CB2502E2250C}"/>
    <hyperlink ref="K11" r:id="rId7" xr:uid="{AEA8C86A-2AF5-954D-AD6C-68528ADFACB4}"/>
    <hyperlink ref="K13" r:id="rId8" xr:uid="{D04300F4-D466-DE4C-87BE-1085E3419DD2}"/>
    <hyperlink ref="K15" r:id="rId9" xr:uid="{FAEC562D-C427-2046-8C55-C0E64FA01D73}"/>
    <hyperlink ref="K20" r:id="rId10" xr:uid="{D2A0390A-1F9C-F549-A7E2-D4F7EE7B93B1}"/>
    <hyperlink ref="K21" r:id="rId11" xr:uid="{0FD0A703-5545-BE43-872C-994E58031B5D}"/>
    <hyperlink ref="K19" r:id="rId12" xr:uid="{B6C2B4C0-40B1-954A-BDF4-C33FC25BD2CE}"/>
    <hyperlink ref="K22" r:id="rId13" xr:uid="{F7B7AD27-F42E-7843-B388-0AAA3554A341}"/>
    <hyperlink ref="K12" r:id="rId14" xr:uid="{00954120-3DFF-124A-B8CE-0910D138CBD6}"/>
  </hyperlinks>
  <pageMargins left="0.7" right="0.7" top="0.75" bottom="0.75" header="0.3" footer="0.3"/>
  <tableParts count="1">
    <tablePart r:id="rId1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Lehenbauer, Isabel</dc:creator>
  <cp:lastModifiedBy>Lehenbauer, Isabel</cp:lastModifiedBy>
  <dcterms:created xsi:type="dcterms:W3CDTF">2026-06-09T17:42:51Z</dcterms:created>
  <dcterms:modified xsi:type="dcterms:W3CDTF">2026-07-07T14:09:37Z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906ff0-52ec-452d-8c5e-cde77f900816_Enabled">
    <vt:lpwstr>true</vt:lpwstr>
  </property>
  <property fmtid="{D5CDD505-2E9C-101B-9397-08002B2CF9AE}" pid="3" name="MSIP_Label_e8906ff0-52ec-452d-8c5e-cde77f900816_SetDate">
    <vt:lpwstr>2026-06-09T17:42:57Z</vt:lpwstr>
  </property>
  <property fmtid="{D5CDD505-2E9C-101B-9397-08002B2CF9AE}" pid="4" name="MSIP_Label_e8906ff0-52ec-452d-8c5e-cde77f900816_Method">
    <vt:lpwstr>Standard</vt:lpwstr>
  </property>
  <property fmtid="{D5CDD505-2E9C-101B-9397-08002B2CF9AE}" pid="5" name="MSIP_Label_e8906ff0-52ec-452d-8c5e-cde77f900816_Name">
    <vt:lpwstr>e8906ff0-52ec-452d-8c5e-cde77f900816</vt:lpwstr>
  </property>
  <property fmtid="{D5CDD505-2E9C-101B-9397-08002B2CF9AE}" pid="6" name="MSIP_Label_e8906ff0-52ec-452d-8c5e-cde77f900816_SiteId">
    <vt:lpwstr>dd8acbd0-ad85-4eb9-8a76-871027ad4a1b</vt:lpwstr>
  </property>
  <property fmtid="{D5CDD505-2E9C-101B-9397-08002B2CF9AE}" pid="7" name="MSIP_Label_e8906ff0-52ec-452d-8c5e-cde77f900816_ActionId">
    <vt:lpwstr>0892ab32-a871-4a2e-92eb-c853ae5a9a12</vt:lpwstr>
  </property>
  <property fmtid="{D5CDD505-2E9C-101B-9397-08002B2CF9AE}" pid="8" name="MSIP_Label_e8906ff0-52ec-452d-8c5e-cde77f900816_ContentBits">
    <vt:lpwstr>0</vt:lpwstr>
  </property>
  <property fmtid="{D5CDD505-2E9C-101B-9397-08002B2CF9AE}" pid="9" name="MSIP_Label_e8906ff0-52ec-452d-8c5e-cde77f900816_Tag">
    <vt:lpwstr>50, 3, 0, 1</vt:lpwstr>
  </property>
</Properties>
</file>